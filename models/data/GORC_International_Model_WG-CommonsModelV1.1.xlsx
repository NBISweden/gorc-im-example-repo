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Glossary" sheetId="2" r:id="rId5"/>
    <sheet state="visible" name="Governance &amp; Leadership" sheetId="3" r:id="rId6"/>
    <sheet state="visible" name="Rules of Participation &amp; Access" sheetId="4" r:id="rId7"/>
    <sheet state="visible" name="Sustainability" sheetId="5" r:id="rId8"/>
    <sheet state="visible" name="Engagement" sheetId="6" r:id="rId9"/>
    <sheet state="visible" name="Human Capacity" sheetId="7" r:id="rId10"/>
    <sheet state="visible" name="Interoperability" sheetId="8" r:id="rId11"/>
    <sheet state="visible" name="Standards &amp; Conventions" sheetId="9" r:id="rId12"/>
    <sheet state="visible" name="ICT Infrastructure" sheetId="10" r:id="rId13"/>
    <sheet state="visible" name="Services &amp; Tools" sheetId="11" r:id="rId14"/>
    <sheet state="visible" name="Research Objects" sheetId="12" r:id="rId15"/>
    <sheet state="visible" name="KPIs &amp; Metrics" sheetId="13" r:id="rId16"/>
  </sheets>
  <definedNames>
    <definedName hidden="1" localSheetId="2" name="_xlnm._FilterDatabase">'Governance &amp; Leadership'!$G$2:$G$18</definedName>
    <definedName hidden="1" localSheetId="3" name="_xlnm._FilterDatabase">'Rules of Participation &amp; Access'!$G$2:$G$17</definedName>
    <definedName hidden="1" localSheetId="4" name="_xlnm._FilterDatabase">Sustainability!$G$2:$G$14</definedName>
    <definedName hidden="1" localSheetId="5" name="_xlnm._FilterDatabase">Engagement!$G$2:$G$19</definedName>
    <definedName hidden="1" localSheetId="6" name="_xlnm._FilterDatabase">'Human Capacity'!$G$2:$G$29</definedName>
    <definedName hidden="1" localSheetId="7" name="_xlnm._FilterDatabase">Interoperability!$G$2:$G$23</definedName>
    <definedName hidden="1" localSheetId="8" name="_xlnm._FilterDatabase">'Standards &amp; Conventions'!$G$2:$G$29</definedName>
    <definedName hidden="1" localSheetId="9" name="_xlnm._FilterDatabase">'ICT Infrastructure'!$G$2:$G$30</definedName>
    <definedName hidden="1" localSheetId="10" name="_xlnm._FilterDatabase">'Services &amp; Tools'!$G$2:$G$8</definedName>
    <definedName hidden="1" localSheetId="11" name="_xlnm._FilterDatabase">'Research Objects'!$G$2:$G$8</definedName>
    <definedName hidden="1" localSheetId="2" name="Z_C103ECE9_5D35_4A9E_9396_8F6D912E796E_.wvu.FilterData">'Governance &amp; Leadership'!$G$2:$G$61</definedName>
    <definedName hidden="1" localSheetId="3" name="Z_C103ECE9_5D35_4A9E_9396_8F6D912E796E_.wvu.FilterData">'Rules of Participation &amp; Access'!$G$2:$G$17</definedName>
    <definedName hidden="1" localSheetId="4" name="Z_C103ECE9_5D35_4A9E_9396_8F6D912E796E_.wvu.FilterData">Sustainability!$G$2:$G$14</definedName>
    <definedName hidden="1" localSheetId="5" name="Z_C103ECE9_5D35_4A9E_9396_8F6D912E796E_.wvu.FilterData">Engagement!$G$2:$G$19</definedName>
    <definedName hidden="1" localSheetId="6" name="Z_C103ECE9_5D35_4A9E_9396_8F6D912E796E_.wvu.FilterData">'Human Capacity'!$G$2:$G$29</definedName>
    <definedName hidden="1" localSheetId="7" name="Z_C103ECE9_5D35_4A9E_9396_8F6D912E796E_.wvu.FilterData">Interoperability!$G$2:$G$23</definedName>
    <definedName hidden="1" localSheetId="8" name="Z_C103ECE9_5D35_4A9E_9396_8F6D912E796E_.wvu.FilterData">'Standards &amp; Conventions'!$G$2:$G$34</definedName>
    <definedName hidden="1" localSheetId="9" name="Z_C103ECE9_5D35_4A9E_9396_8F6D912E796E_.wvu.FilterData">'ICT Infrastructure'!$G$2:$G$30</definedName>
    <definedName hidden="1" localSheetId="10" name="Z_C103ECE9_5D35_4A9E_9396_8F6D912E796E_.wvu.FilterData">'Services &amp; Tools'!$G$2:$G$8</definedName>
    <definedName hidden="1" localSheetId="11" name="Z_C103ECE9_5D35_4A9E_9396_8F6D912E796E_.wvu.FilterData">'Research Objects'!$G$2:$G$8</definedName>
    <definedName hidden="1" localSheetId="12" name="Z_C103ECE9_5D35_4A9E_9396_8F6D912E796E_.wvu.FilterData">'KPIs &amp; Metrics'!$E$2:$E$111</definedName>
    <definedName name="SlicerCache_Table_1_Col_1">#N/A</definedName>
  </definedNames>
  <calcPr/>
  <customWorkbookViews>
    <customWorkbookView activeSheetId="0" maximized="1" windowHeight="0" windowWidth="0" guid="{C103ECE9-5D35-4A9E-9396-8F6D912E796E}" name="Filter 1"/>
  </customWorkbookViews>
  <extLst>
    <ext uri="{46BE6895-7355-4a93-B00E-2C351335B9C9}">
      <x15:slicerCaches>
        <x14:slicerCache r:id="rId17"/>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Elevate?
	-CJ Woodford</t>
      </text>
    </comment>
    <comment authorId="0" ref="F13">
      <text>
        <t xml:space="preserve">Example for monitoring operations items that aren't KPIs and metrics for reporting, such as monitoring RoPA, Engagemnet
	-CJ Woodford</t>
      </text>
    </comment>
    <comment authorId="0" ref="D38">
      <text>
        <t xml:space="preserve">Make more directive, that the composition needs to be representative?
	-CJ Woodford</t>
      </text>
    </comment>
    <comment authorId="0" ref="B32">
      <text>
        <t xml:space="preserve">Add attribute for participatory governance approaches, ensuring engagement with the community (link with engagement element)
	-CJ Woodford</t>
      </text>
    </comment>
    <comment authorId="0" ref="C52">
      <text>
        <t xml:space="preserve">Should these be subcategories instead?
	-CJ Woodford
Some, but maybe not all?
	-CJ Woodford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Add top level attribute for monitoring body for these policies?
	-CJ Woodford
Monitoring mechanism
	-CJ Woodford</t>
      </text>
    </comment>
    <comment authorId="0" ref="D14">
      <text>
        <t xml:space="preserve">Add feature for graduated and proportionate sanctions for repeated offenses
	-CJ Woodford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Add a feature on "representative of the community"
	-CJ Woodford</t>
      </text>
    </comment>
    <comment authorId="0" ref="C3">
      <text>
        <t xml:space="preserve">This isn't really a characteristic... maybe this should be a category and the other categories are subcategories? Some other combination?
	-CJ Woodford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8">
      <text>
        <t xml:space="preserve">Is this a subcategory instead of a characteristic?
	-CJ Woodford</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8">
      <text>
        <t xml:space="preserve">Should this be incorporated/moved to Standards and conventions instead?
	-CJ Woodford</t>
      </text>
    </comment>
    <comment authorId="0" ref="C14">
      <text>
        <t xml:space="preserve">Should these be subcategories?
	-CJ Woodford</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
      <text>
        <t xml:space="preserve">Merge up with ROs, the only new characteristic is mapping.
	-CJ Woodford
Specifiy that it's for SOs that are internal to commons use, not those that would be hosted bythe commons for researchers like ROs above.
	-CJ Woodford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4">
      <text>
        <t xml:space="preserve">Consideration for choice of operating system: easily transferable, open source, etc. (based on principles/values of the org)
	-CJ Woodford</t>
      </text>
    </comment>
    <comment authorId="0" ref="C28">
      <text>
        <t xml:space="preserve">Should have a knowledge management attribute
	-CJ Woodford</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9">
      <text>
        <t xml:space="preserve">Add a new subcategory for " Portal, webpage, or other interface for users to access and engage with the discovery service."
	-CJ Woodford
The suggested new subscategory is meant to be classified as "researcher facing"
	-Chrys Wu</t>
      </text>
    </comment>
    <comment authorId="0" ref="C24">
      <text>
        <t xml:space="preserve">Move to ROs
	-CJ Woodford</t>
      </text>
    </comment>
    <comment authorId="0" ref="C23">
      <text>
        <t xml:space="preserve">Make a category?
	-CJ Woodford</t>
      </text>
    </comment>
    <comment authorId="0" ref="C10">
      <text>
        <t xml:space="preserve">Make subcategories of a new category for "Integrity and quality assurance"
	-CJ Woodford</t>
      </text>
    </comment>
    <comment authorId="0" ref="C8">
      <text>
        <t xml:space="preserve">Make a category?
	-CJ Woodford</t>
      </text>
    </comment>
    <comment authorId="0" ref="C7">
      <text>
        <t xml:space="preserve">Move to enabling services?
	-CJ Woodford</t>
      </text>
    </comment>
    <comment authorId="0" ref="A52">
      <text>
        <t xml:space="preserve">Move to revamped ICT!
	-CJ Woodford</t>
      </text>
    </comment>
    <comment authorId="0" ref="A76">
      <text>
        <t xml:space="preserve">Move to revamped ICT!
	-CJ Woodford</t>
      </text>
    </comment>
    <comment authorId="0" ref="A44">
      <text>
        <t xml:space="preserve">Move to revamped ICT!
	-CJ Woodford</t>
      </text>
    </comment>
    <comment authorId="0" ref="C68">
      <text>
        <t xml:space="preserve">Make examples? Maybe some of these are actually subcategories or something?
	-CJ Woodford</t>
      </text>
    </comment>
    <comment authorId="0" ref="A67">
      <text>
        <t xml:space="preserve">Enabling service, move to renamed "ICT Infrastructure and Enabling Services"
	-CJ Woodford</t>
      </text>
    </comment>
    <comment authorId="0" ref="B74">
      <text>
        <t xml:space="preserve">Make these attributes of the new combined category
	-CJ Woodford</t>
      </text>
    </comment>
    <comment authorId="0" ref="B40">
      <text>
        <t xml:space="preserve">These labels should match the MaLDReTH model.
	-CJ Woodford</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We did not understood what it means, sorry
	-Francoise Genova
This is about what the research objects look like in the repo -- i.e. the design and information on the landing page for the research object. Maybe we need to rephrase?
	-CJ Woodford
Maybe. Reading again the comments we made at different places it is often linked to the usage of the word 'consideration'. I understood better when going through them again and only this one was worth posting. The sentence is a bit intricate and it may be possible to simplify it.
	-Francoise Genova</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4">
      <text>
        <t xml:space="preserve">Should we include anything about service level measures here or in other themes?
	-CJ Woodford</t>
      </text>
    </comment>
    <comment authorId="0" ref="C81">
      <text>
        <t xml:space="preserve">Rows 79+81: consider changing to metrics for availability and reliability (inverse of current measurement). https://confluence.egi.eu/display/EGISLM/Service+Level+Target+-+Availability+Reliability
	-CJ Woodford</t>
      </text>
    </comment>
  </commentList>
</comments>
</file>

<file path=xl/sharedStrings.xml><?xml version="1.0" encoding="utf-8"?>
<sst xmlns="http://schemas.openxmlformats.org/spreadsheetml/2006/main" count="2908" uniqueCount="1423">
  <si>
    <t>Context:</t>
  </si>
  <si>
    <r>
      <rPr>
        <rFont val="Arial"/>
      </rPr>
      <t>The Global Open Research Commons International Model Working Group (</t>
    </r>
    <r>
      <rPr>
        <rFont val="Arial"/>
        <color rgb="FF1155CC"/>
        <u/>
      </rPr>
      <t>GORC-WG</t>
    </r>
    <r>
      <rPr>
        <rFont val="Arial"/>
      </rPr>
      <t>) has been working to create a model describing commons* attributes* so that commons* developers can compare aspects across research clouds and commons*.</t>
    </r>
  </si>
  <si>
    <r>
      <rPr>
        <rFont val="Arial"/>
      </rPr>
      <t xml:space="preserve">This is the GORC WG commons* model version* 1.1. It represents the work done by the GORC-WG culminating in </t>
    </r>
    <r>
      <rPr>
        <rFont val="Arial"/>
        <color rgb="FF1155CC"/>
        <u/>
      </rPr>
      <t>V1.0 of the model</t>
    </r>
    <r>
      <rPr>
        <rFont val="Arial"/>
      </rPr>
      <t xml:space="preserve"> endorsed by RDA in October 2023, with slight revisions.
Note that additional versions* of this model, as well as implementations and applications of it, are under development, and will be released in the future.</t>
    </r>
  </si>
  <si>
    <t>What the model is:</t>
  </si>
  <si>
    <r>
      <rPr>
        <rFont val="Arial"/>
      </rPr>
      <t xml:space="preserve">This spreadsheet representation of the model includes a flat breakdown of the essential elements* of a commons* (from the GORC-IG definitions document, see below), categories* and subcategories* of these essential elements*, and the attributes* and features* that exist for each. Of note is the relationship between all aspects of the model as presented here: the entities of essential elements*, categories*, and subcategories*, and the characteristics (attributes* and features*) that belong to them. Subcategories* are child entities of categories*, and categories* are child entities of essential elements*. Attributes* are inherited from parent to child entities, but are not necessarily shared between sibling entities. Features* are more granular than attributes*. Categories* of essential elements* may be considered mandatory and not disjoint, in the way that any entity that is part of the essential element* must belong to a category* of the essential element and may belong to more than one category*. Subcategories* are optional and not disjoint, in the way that any entity that is part of a category* may or may not belong to a subcategory*, and belong to more than one subcategory*. Possible Key Performance Idicators* (KPIs*) and metrics* for consideration are listed in the last tab. A UML visual representation of these relationships is available in this </t>
    </r>
    <r>
      <rPr>
        <rFont val="Arial"/>
        <color rgb="FF1155CC"/>
        <u/>
      </rPr>
      <t>conceptual model</t>
    </r>
    <r>
      <rPr>
        <rFont val="Arial"/>
      </rPr>
      <t>.
In addition to the statement of the model (i.e. the name of each essential element*, category*, subcategory*, attribute*, feature*, and KPI*), there are extended descriptions, examples, consideration levels*, and a listing of the source or sources where the item originated. The model is not intended to be prescriptive or indicate how any one commons* should be structured or operate, and so the consideration level* provides a gentle guide on the priority for which aspects of the model should be considered. This does not indicate that items with "Core" consideration levels* must be implemented, but that the GORC-WG has identified them as important and therefore they should be considered by any and all commons* at any development stage*. Similarly, "Desirable" items may be less critical for all commons* to consider and may be more suited to established commons*, and "Optional" for mature commons* or commons* with specific interest in those areas of work.</t>
    </r>
  </si>
  <si>
    <t>Any word throughout the model with an asterisk (*) has a specific definition captured in the glossary. In some cases, the same word may have different meanings depending on context, and so the same word may have an asterisk in one place and no asterisk when used in another part of the model as it means something different than our model-specific definition, especially within examples. Each essential element* in the model has its own tab. Blue coloured cells indicate categories* and their information, and purple cells indicate subcategories* and their information. Orange coloured cells indicate attributes* and their information, and yellow cells indicate features* and their information. Attributes* and features* at the top of each tab that are not within a category* or subcategory* belong to the essential element*, and are inherited by each category* and subcategory*. Attributes* and features* that belong to categories* are inherited by that category's* subcategories*. Subcategories* may also have attributes* and features*, which are not necessarily shared with sibling subcategories*. The ordering of categories*, subcategories*, attributes*, and features* within each tab is not indicative of importance.</t>
  </si>
  <si>
    <t>How to use the model</t>
  </si>
  <si>
    <t>Counts</t>
  </si>
  <si>
    <r>
      <rPr>
        <rFont val="Arial"/>
      </rPr>
      <t xml:space="preserve">Commons* developers may use this model as a guide for what to consider as they build, maintain, and expand their commons*. Not every commons* should include every item in this model, however we encourage commons* to consider having some representation in each essential element*. Commons* developers should review and consider each attribute* and feature* and the subcategories* and categories* they belong to in each essential element*, asking themselves if each is something their commons* has at a sufficient level, has but needs to improve or expand, does not have and needs immediately, does not have and needs eventually, or doesn't need at all. Developers may consider keeping explanatory notes for themselves on their decisions for each item in the model, and revisiting them over time as part of their strategic planning process. Developers may find the list of possible KPIs and metrics helpful as a starting point to determine their own success indicators and metrics. A </t>
    </r>
    <r>
      <rPr>
        <rFont val="Arial"/>
        <color rgb="FF1155CC"/>
        <u/>
      </rPr>
      <t xml:space="preserve">first edition adoption tool </t>
    </r>
    <r>
      <rPr>
        <rFont val="Arial"/>
      </rPr>
      <t xml:space="preserve">, based on V1.0, is available for those interested in adopting the model.
Note that the access level on this sheet is set to "anyone can comment". Please do leave comments and suggestions on cells throughout the model. All parts of the model should be visible, but please contact CJ at c.joseph.woodford@gmail.com if you find you cannot see any area of the model clearly. We also have a </t>
    </r>
    <r>
      <rPr>
        <rFont val="Arial"/>
        <color rgb="FF1155CC"/>
        <u/>
      </rPr>
      <t>running list of issues/considerations for future versions</t>
    </r>
    <r>
      <rPr>
        <rFont val="Arial"/>
      </rPr>
      <t xml:space="preserve"> that address overarching ideas and potential changes.
To assist with determining which components of the model to consider first, each tab has a slicer in cell 1E that allows you to select whether you view all items at once or only items of a particular consideration level* at a time. A counter at the top of each sheet will inform you of how many items you are currently viewing. The totals for each essential element are to the right for reference.</t>
    </r>
  </si>
  <si>
    <t>Essential Element*</t>
  </si>
  <si>
    <t>Total items</t>
  </si>
  <si>
    <t>Core Considerations</t>
  </si>
  <si>
    <t>Desirable Considerations</t>
  </si>
  <si>
    <t>Optional Considerations</t>
  </si>
  <si>
    <t>Categories*</t>
  </si>
  <si>
    <t>Subcategories*</t>
  </si>
  <si>
    <t>Attributes* &amp; Features</t>
  </si>
  <si>
    <t>Governance &amp; Leadership*</t>
  </si>
  <si>
    <t>Relevant Resources:</t>
  </si>
  <si>
    <t>Rules of Participation &amp; Access*</t>
  </si>
  <si>
    <t>Global Open Research Commons International Model, version 1.1,  Model documentation</t>
  </si>
  <si>
    <t>Sustainability*</t>
  </si>
  <si>
    <r>
      <rPr>
        <rFont val="Arial"/>
      </rPr>
      <t xml:space="preserve">The Global Open Research Commons International Model, version 1,  supporting documentation; </t>
    </r>
    <r>
      <rPr>
        <rFont val="Arial"/>
        <color rgb="FF1155CC"/>
        <u/>
      </rPr>
      <t>https://zenodo.org/records/10032913</t>
    </r>
    <r>
      <rPr>
        <rFont val="Arial"/>
      </rPr>
      <t xml:space="preserve"> </t>
    </r>
  </si>
  <si>
    <t>Engagement*</t>
  </si>
  <si>
    <t xml:space="preserve">GORC IG: Typology and Definitions : https://doi.org/10.15497/RDA00087 </t>
  </si>
  <si>
    <t>Human Capacity*</t>
  </si>
  <si>
    <t>GORC International Model WG - Commons Model V1.0</t>
  </si>
  <si>
    <t>ICT Infrastructure*</t>
  </si>
  <si>
    <t>Interoperability*</t>
  </si>
  <si>
    <t>Standards* &amp; Conventions*</t>
  </si>
  <si>
    <t>Services* &amp; Tools*</t>
  </si>
  <si>
    <t>Research Objects*</t>
  </si>
  <si>
    <r>
      <rPr>
        <rFont val="Arial"/>
        <color rgb="FF1F1F1F"/>
      </rPr>
      <t xml:space="preserve">© 2024. This work is licensed under a </t>
    </r>
    <r>
      <rPr>
        <rFont val="Arial"/>
        <color rgb="FF1155CC"/>
        <u/>
      </rPr>
      <t>CC BY 4.0 license</t>
    </r>
    <r>
      <rPr>
        <rFont val="Arial"/>
        <color rgb="FF1F1F1F"/>
      </rPr>
      <t>. Attribute as "Commons Model V1.1, GORC IM WG, 2024"</t>
    </r>
  </si>
  <si>
    <t>Subtotals</t>
  </si>
  <si>
    <t>Cite as:</t>
  </si>
  <si>
    <t>KPIs* &amp; metrics*</t>
  </si>
  <si>
    <r>
      <rPr/>
      <t>Woodford, C. J., Treloar, A., Leggott, M., Payne, K.., Jones, S., Lopez Albacete, J., Madalli, D., Genova, F., Dharmawardena, K., Chibhira, N., Åkerström, W. N., Macneil, R., Nurnberger, A., Pfeiffenberger, H., Tanifuji, M., Zhang, Q., Jones, N., Sesink, L., &amp; Wood-Charlson, E. (2024).</t>
    </r>
    <r>
      <rPr>
        <i/>
      </rPr>
      <t xml:space="preserve"> The Global Open Research Commons International Model, Version 1.1 (Version 1.1)</t>
    </r>
    <r>
      <rPr/>
      <t xml:space="preserve">. Research Data Alliance. </t>
    </r>
    <r>
      <rPr>
        <color rgb="FF1155CC"/>
        <u/>
      </rPr>
      <t>https://doi.org/10.15497/RDA00119</t>
    </r>
  </si>
  <si>
    <t>Total Considerations:</t>
  </si>
  <si>
    <t>Acknowlegements and thanks are extended to all GORC-WG members, speakers, and RDA community members who provided input to and feedback on the model. In particular, we thank Corrie, B., Crawley, F., Harrower, N., Maxwell, L., Sansone, S. A. for their contributions.</t>
  </si>
  <si>
    <t>Glossary</t>
  </si>
  <si>
    <t>As much as possible, it is preferred we make definitions more inclusive rather than exclusive. This glossary is listed alphabetically.</t>
  </si>
  <si>
    <t>-</t>
  </si>
  <si>
    <t>Term</t>
  </si>
  <si>
    <t>Current definition</t>
  </si>
  <si>
    <t>Notes / source</t>
  </si>
  <si>
    <t>Attribute*</t>
  </si>
  <si>
    <t>A standard, characteristic, functionality or point of reference from which information can be documented, or measurements or comparisons may be made. Attributes* are the top level characteristics of entities (essential elements*, categories*, subcategories*). e.g. "Metadata content" is an attribute of the category "Metadata standards" within the "Standards &amp; Conventions" essential element*.</t>
  </si>
  <si>
    <t>Adapted from the GORC-WG case statement</t>
  </si>
  <si>
    <t>Block-based Storage*</t>
  </si>
  <si>
    <t>Block storage is an approach to data storage in which each storage volume acts as an individual hard drive that is configured by the storage administrator. In the block storage model, data is saved to the storage media in fixed-sized chunks called blocks. Each block is associated with a unique address, and the address is the only Metadata* assigned to each block.</t>
  </si>
  <si>
    <t>Adapted from https://www.techtarget.com/searchstorage/definition/block-storage,</t>
  </si>
  <si>
    <t>Category*, Subcategory*</t>
  </si>
  <si>
    <t>A grouping or classification within an essential element* of items that share attributes* and features*. Categories* may be broken down further into subcategories*. Any attributes* and features* of the essential element* to which the category* belongs are inherited by that category*, and likewise by any subcategories*. 
For example, in the essential element* ICT Infrastructure*, the category* "Storage Infrastructure" has two subcategories*: "Direct attached storage [...]" and "Network based storage [...]". This category* has one attribute, "Knowledge and management of storage infrastructure", that is inherited by both of its subcategories*. Likewise, ICT Infrastructure* itself has two attributes, "Infrastructure is designed to scale with changing volume, complexity, and velocity of projects and expectations" and "A review and update of ICT infrastructure* happens on a regular basis". Both of these attributes, as well as the features in the latter, are inherited by the "Storage Infrastructure" category and its subcategories, such that any direct-attached, network-based, or other storage infrastructure a commons* has should have considerations for changing needs, be reviewed and updated, and have method(s) for accumulating and maintaining knowledge about them, such as a wiki.</t>
  </si>
  <si>
    <t>Task Group 5 Phase 2 Evaluation (May - September 2023), https://joeyhoer.com/attributes-vs-categories-6f3c9bab</t>
  </si>
  <si>
    <t>Collection* (of Research Objects*)</t>
  </si>
  <si>
    <t>A combination or bundle of Research Objects* that are of the same kind or different kinds that share a relationship, is treated as a digital object* which may bear a PID*, and consists of a finite number of digital object* identifiers and Metadata* associated with each referenced identifier.</t>
  </si>
  <si>
    <t>Research Data collections WG Recommendations, CURE-FAIR WG (10 things for curating reproducible and FAIR research), Speaker series (NII), Task Group 3 Phase 1 Evaluation (October 2022 - April 2023)</t>
  </si>
  <si>
    <t>Commons*, Research commons*</t>
  </si>
  <si>
    <t>A trusted ecosystem that provides seamless access to high quality, interoperable research outputs and Services*. While commons* may be focused on a specific discipline or geographic region, they should have the intent to be part of the global data ecosystem. The scope of this and related documents is intentionally restricted to digital information, and intentionally does not include the instruments that generate the data that may be made available through the commons*.</t>
  </si>
  <si>
    <t>Adapted from the GORC-IG typology</t>
  </si>
  <si>
    <t>Community*, Research commons community* or commons community*</t>
  </si>
  <si>
    <t>All human individuals and entities that could be considered stakeholders*, Users*, Providers*, Members* and intermediaries of the commons* (i.e. those who do not interact directly with the commons, but use information about or provided by the commons, e.g. policy makers, journals, funders) in the past, present, and future as well as all research communities that the research commons* is a part of in a regional, national, and global context. Depending on the structure of the commons*, may include funding and government bodies as well as related commercial entities, such as through related Services* or associated with related research communities.</t>
  </si>
  <si>
    <t>GORC-WG Phase 1 Evaluation (October 2022 - April 2023)</t>
  </si>
  <si>
    <t>Consideration Level*</t>
  </si>
  <si>
    <t>Consideration levels* indicate the priority or importance with which each item in the model should be considered. There are three levels, with 'Core' indicating items that are critical to consider for a commons* at any development stage* and in any discipline, 'Desirable' indicating items that should be considered by established commons* or those looking to expand, and 'Optional' indicating items that may be considered by commons* with particular interest in those areas.</t>
  </si>
  <si>
    <t>GORC-WG Phase 2 Evaluation (May - September 2023)</t>
  </si>
  <si>
    <t>Data space*</t>
  </si>
  <si>
    <t>Any digital location that incentivises the sharing of data and/or facilitates the use of data across any research discipline or field. Includes research data commons*, data Repositories*, data portals, research commons*, and any interlinked Service* such as HPC infrastructures or VRE platforms*. Note that data space*s may also be physical locations, but we are not concerned with physical data space*s in this model.</t>
  </si>
  <si>
    <t>Adapted from EOSC Monitoring Framework</t>
  </si>
  <si>
    <t>Development Stage*</t>
  </si>
  <si>
    <t>The stage that a commons* is in regarding its development. This speaks to the main goal of the commons* at present, spanning: Initial [getting building blocks in place, before development or implementation of external-facing services*], Developing [main foundation of commons* is in place and the commons* is starting to develop, trial, and open external facing services* and tools*], Established [recognized in research community with core services in place], Expanding [core services are well in place, looking to bolster current services and/or expand offerings/audience]. Note that "Established" may be the end goal for a commons*, as "Expanding" is specifically for growing beyond the original mission of the commons*. Additionally, development stage* is not the same as commons* age or maturity, since the time spent in any one stage will be context dependent, however development stage* and age may be correlated. Used in KPIs* &amp; Metrics* as a guideline on when during their development a commons* may wish to consider particular measurements and indicators.</t>
  </si>
  <si>
    <t>Phase 2 Review (Literature Analysis, November 2022 - June 2023), adpated from Research Data Management Support Services by Libraries - A LIBER/ADBU Toolkit (https://zenodo.org/record/8101818)</t>
  </si>
  <si>
    <t>Digital object*</t>
  </si>
  <si>
    <t>A digital object* (DO*) is represented by a bitstream, is referenced and identified by a persistent identifier and has properties that are described by Metadata*.</t>
  </si>
  <si>
    <t>Adapted from RDA data foundation and terminology - DFT: Results RFC</t>
  </si>
  <si>
    <t>EDII*</t>
  </si>
  <si>
    <t>EDII* is an acronym standing for Equity, Diversity, Inclusion, and Indigenization. The use of this particular acronym throughout the model can be taken as any similar acronym representing these overlaping concepts, such as EDIA (Equity, Diversity, Inclustion, and Accessibility) and DEI (Diversity, Equity, and Inclusion).</t>
  </si>
  <si>
    <t>Phase 2 Review (Literature Analysis, November 2022 - June 2023)</t>
  </si>
  <si>
    <t>Engagement* (essential element*)</t>
  </si>
  <si>
    <t>Methods, mechanisms, and means used to interact with the broad research commons* community* to involve them in activities. Specifically human engagement, as technical engagement is captured in Services* &amp; Tools*</t>
  </si>
  <si>
    <t>Adapted from the GORC-IG typology, essential element*</t>
  </si>
  <si>
    <t>A top-level entity that captures the functionality, coverage, and/or characteristics of a commons*. Ex. Governance* structure, Services* and Tools*</t>
  </si>
  <si>
    <t>Feature*</t>
  </si>
  <si>
    <t>Aspects or properties of attributes*, a further stage of granularity of the characteristics of essential elements*, categories*, and subcategories*. e.g. 'Development of relevant roadmaps' is a feature of the attribute 'Development of strategy within the "Governance &amp; Leadership*" essential element*.</t>
  </si>
  <si>
    <t>File based Storage*</t>
  </si>
  <si>
    <t>In file storage, data is stored in files, the files are organized under a hierarchy of directories and subdirectories. To locate a file, you need the path—from directory to subdirectory to file.</t>
  </si>
  <si>
    <t>Adapted from https://www.ibm.com/topics/file-storage</t>
  </si>
  <si>
    <t>Governance &amp; Leadership*, Governance* (essential element*)</t>
  </si>
  <si>
    <t>Stakeholders* that define the commons* purpose and the development of the strategies, objectives, values, and policies that frame how that purpose will be pursued.</t>
  </si>
  <si>
    <t>Human Capacity* (essential element*)</t>
  </si>
  <si>
    <t>The mechanisms of the commons* to create and maintain capacity for humans to interact with the commons* at all levels as well as the capacity of humans in regards to the commons*, or the role of humans within the commons*. This may be considered 1) the ability of the commons* to create a human-friendly environment for all stakeholders* and community* Members* in all aspects, specifically for Users*, Providers*, and internal personnel*, so that 2) the commons* can set and achieve objectives, perform functions, solve problems, and continue to develop the means and conditions required to enable this process.</t>
  </si>
  <si>
    <t>Adapted from "Strategic Framework for Human Capacity* development in fisheries"</t>
  </si>
  <si>
    <t>ICT Infrastructure*, ICT, Information Communication and Technology Infrastructure (essential element*)</t>
  </si>
  <si>
    <t>Information and communications technology infrastructure, the physical components that a computer system requires to function and are necessary to conduct research.</t>
  </si>
  <si>
    <t>Internal Capacity*, Internal Personnel*</t>
  </si>
  <si>
    <t>Anyone who is working on behalf of the commons*, for the commons*, or representing the commons* or its subsidiaries in any capacity regardless of their specific contract details or lack thereof. Includes staff, partial contracts, external contracts, volunteers, co-op students, interns, visiting researchers, etc.</t>
  </si>
  <si>
    <t>Interoperability* (essential element*)</t>
  </si>
  <si>
    <t>The ability of Research Objects* or Tools* from different resources to integrate or work together with minimal effort. e.g. A research data file can be used by two different commons* HPC infrastructure.</t>
  </si>
  <si>
    <t>Adapted from the GORC-IG typology, from Wilkinson et al. 2016, essential element*</t>
  </si>
  <si>
    <t>Legal Interoperability*: A category* of Interoperability*. The ability to combine Research Objects* from multiple sources without conflicts among restrictions imposed by the license of each Research Object*; Research Objects* should be reusable. Covers the broad environment of laws, policies, procedures, and cooperations agreements needed to allow the seamless exchange of information and reusability of Research Objects* between difference individuals, organizations, and across jurisdictions.</t>
  </si>
  <si>
    <t>(EOSC FAIR-WG) EOSC Interoperability* framework - Publications Office of the EU [2021, https://data.europa.eu/doi/10.2777/620649]</t>
  </si>
  <si>
    <t>Organizational Interoperability*, Pragmatic Interoperability*: A category* of Interoperability*. How organizations align their business processes, responsibilities and expectations to achieve commonly agreed and mutually beneficial goals; meeting the requirements of the shared commons community* by making Services* available, easily identifiable, accessible, and community* member-focused  Considerations for Interoperability* with other commons*, repos, public research institutions, private research institutions, and commercial entities, among other entities in the community*, are included.</t>
  </si>
  <si>
    <t>Adapted from (EOSC FAIR-WG) EOSC Interoperability* framework - Publications Office of the EU [2021, https://data.europa.eu/doi/10.2777/620649]</t>
  </si>
  <si>
    <t>Semantic Interoperability*: the ability of computer systems to transmit information with unambiguous, shared meaning; a requirement to enable machine computable logic, inference, knowledge discovery, and Research Object* federation between information systems; what is sent is what is understood by both humans and machines.</t>
  </si>
  <si>
    <t>Technical Interoperability*: the ability of different information technology systems and software applications to communicate and exchange Research Objects*, and specifically to accept Research Objects* from each other and perform a given task in an appropriate and satisfactory manner without the need for extra operator intervention.</t>
  </si>
  <si>
    <t>KPI*, Key Performance Indicator</t>
  </si>
  <si>
    <t>Qualitative and quantitative measures used within and by the commons* to measure the uptake, engagement or use of a category*, subcategory*, Attribute* or feature*. KPIs* are often used to measure success, adoption, and use specifically.</t>
  </si>
  <si>
    <t>Machine Actionable*</t>
  </si>
  <si>
    <t>Machine Actionable* means that a formal statement is syntactically and semantically specified enabling computing systems to carry out automatic processing.</t>
  </si>
  <si>
    <t>(EOSC FAIR-WG) A Persistent Identifier (PID*) policy for the European Open Science Cloud (EOSC) - Publications Office of the EU [2020, https://data.europa.eu/doi/10.2777/926037]</t>
  </si>
  <si>
    <t>Members*</t>
  </si>
  <si>
    <t>A human individual or entity, such as research institutions, that participate in the commons*. Participation may include but is not limited to being Providers*, granting access or creating pathways for Users* to engage with the commons*, and participating in the governance* structure of the commons*. Being a member of a commons* is the highest level of interaction without being an employee or hosting organization. Eg. a member is participating on the Data Management Plan task group of the commons*.</t>
  </si>
  <si>
    <t>Metadata*</t>
  </si>
  <si>
    <t>Information about the Research Object*, Service*, Tool*, or other entity being described. Often stated as "data about data". Metadata* typically contains descriptive, contextual and Provenance* assertions about the properties of a digital object*.</t>
  </si>
  <si>
    <t>Metric*</t>
  </si>
  <si>
    <t>A metric* is a quantifiable measure that is used to track and assess the evolution or performance of specific processes</t>
  </si>
  <si>
    <t>A Set of Common Service Quality Assurance Baseline Criteria for Research Projects [2022] https://digital.csic.es/handle/10261/214441</t>
  </si>
  <si>
    <t>Object based Storage*</t>
  </si>
  <si>
    <t>A stored object is a logical collection* of bytes that are of variable size and can be used to store entire data structures, such as files, database tables, medical images, or multimedia. Object-based storage offers the efficiency of block storage and the control of file storage.</t>
  </si>
  <si>
    <t>Adapted from https://ieeexplore.ieee.org/document/1222722#citations</t>
  </si>
  <si>
    <t>PID*, Persistent Identifier*</t>
  </si>
  <si>
    <t>A persistent identifier* is a long-lasting ID represented by a string that uniquely identifies a digital object* and that is intended to be persistently resolved to meaningful state information about the identified digital object. A PID may also be defined by it's characteristics, i.e. that PIDs: are uniquely identifying a specific Digital Object*; in general consist of a name space indicator (prefix) and a local identifier (suffix); are actionable on the web, by extending it to a fully defined URI, if required; can be persistently resolved to state information and/or a landing page; are associated with a persistent resolution system; are issued and managed by a clearly specified registration authority.</t>
  </si>
  <si>
    <t xml:space="preserve">Adapted from Persistent Identifiers: Consolidated Assertions, from the RDA Data Fabric IG and RDA Data foundation and Terminology WG
</t>
  </si>
  <si>
    <t>PID* record*</t>
  </si>
  <si>
    <t>A PID* record* or kernel is a minimal set of information about the digital object* communicated between machines. At minimum, it contains the pair between the PID* and the landing page or access URL for the Metadata*.</t>
  </si>
  <si>
    <t>Adapted from Persistent Identifiers: Consolidated Assertions, from the RDA Data Fabric IG and RDA Data foundation and Terminology WG
D2.4 2nd report on FAIR requirements for persistence and Interoperability [2020, FAIRsFAIR]</t>
  </si>
  <si>
    <t>Platform*, Research Platform*</t>
  </si>
  <si>
    <t xml:space="preserve">Research platforms and Services* (virtual science labs, VREs, science gateways) instantiate a collection* of Research Software* source code, including large software frameworks, discipline-specific Tools*, Services*, and glue code, and are deployed to support both the research workflows and the communities of practise engaged in collaborative research. Capabilities include: DAM, processing and visualisation, storage and preservation, sharing and discovery. EX: FRDR, Syzygy, PIMS, CWRC
</t>
  </si>
  <si>
    <t>Research Software* Current State Assessment [2021] (https://alliancecan.ca/sites/default/files/2022-03/rs_current_state_report_1.pdf)</t>
  </si>
  <si>
    <t>Provenance*</t>
  </si>
  <si>
    <t>Any and all information regarding the creation, curation, maintenance, context, rights and responsibility for a Research Object*.</t>
  </si>
  <si>
    <t>Influenced by https://ckaestne.medium.com/versioning*-Provenance*-and-reproducibility-in-production-machine-learning-355c48665005</t>
  </si>
  <si>
    <t>Providers*</t>
  </si>
  <si>
    <t>An individual or entity, human or machine, that provides Services*, Tools*, and/or Research Objects* to the commons* or to Users* on behalf of the commons*. Providers* may also be Users* and Members*. Ex. a Provider* deposits a dataset into the commons*' Repository*, a third-party company provides digitization Services* for commons* Users*</t>
  </si>
  <si>
    <t>Publishers*</t>
  </si>
  <si>
    <t>An entity, human or machine, that prepares and issues a Research Object* for distribution or otherwise makes the Research Object* public, so that it may be shared and discovered. This includes but is not limited to peer-review and open access journals, data Repositories*, government bodies, pre-print Repositories*, blogs, and digital spaces owned and operated by research institutions and organizations, such as websites and news columns. Specific examples include websites such as Zenodo, an institutional or discipline Repository* such as GBIF, or a software Repository* such as Github.</t>
  </si>
  <si>
    <t>Publication*</t>
  </si>
  <si>
    <t>A text based scholarly Publication* or publishing channel that contains results of research. CRISs typically record Metadata* about scholarly Publications* from the scope of the CRIS (institutional CRIS for the institution, funder CRIS for the funding it distributed, etc.) in the context of the research projects, infrastructure, funding, organization units and authors/contributors. This entity typically represents the granularity level of a single published item for which attribution information is attached (usually in the form of a list of authors and contributors). This entity is also used to represent publishing channels and sources: journals and book series (incl. continuing conference proceedings series).</t>
  </si>
  <si>
    <r>
      <rPr/>
      <t>OpenAIRE Guidelines [2022] (https://guidelines.openaire.eu/en/latest/index.html)
Publication* Metadata* in CERIF: Inspiration by FRBR (</t>
    </r>
    <r>
      <rPr>
        <color rgb="FF1155CC"/>
        <u/>
      </rPr>
      <t>https://doi.org/10.1016/j.procs.2014.06.008</t>
    </r>
    <r>
      <rPr/>
      <t>)</t>
    </r>
  </si>
  <si>
    <t>Repository*, Repositories*, Repo*, Repos*</t>
  </si>
  <si>
    <t>A system for Research Object* storage and management. Repositories* may aggregate Research Objects* from other Repositories*, and may be a part of or are harvested by commons*. Repositories* typically do not have Services* or Tools* beyond essential storage and management.</t>
  </si>
  <si>
    <t>Research Compendium*</t>
  </si>
  <si>
    <t>A bundle of all the research artifacts used and necessary to support a research claim, such that the claim is completely reproducible using only what is provided or referenced in the research compendium*.</t>
  </si>
  <si>
    <t>CURE-FAIR WG, 10 things for curating reproducible and FAIR research</t>
  </si>
  <si>
    <t>Research Data*</t>
  </si>
  <si>
    <t>An assembly of data that is identifiable and has the potential to be curated or published by a single actor and is the result or focus of research activities. Research data can digitally represent a group of observations, a data product from a specific version* of a processing algorithm based on observations, output of numerical model(s), or outcomes of laboratory experiments. Research data serve as the object(s) of an investigation, whether scientific, scholarly, literary or artistic, and are used to create more or other research data.</t>
  </si>
  <si>
    <t>Global Community Guidelines for Documenting, Sharing, and Reusing Quality Information of Individual Digital Datasets https://datascience.codata.org/articles/10.5334/dsj-2022-008/
Canadian Tri-Agency (https://science.gc.ca/eic/site/063.nsf/eng/h_97609.html#1a), Random Encounters (CANLIB discussion)</t>
  </si>
  <si>
    <t>Research Object* (essential element*), Research Artefact*</t>
  </si>
  <si>
    <t>Any input to, or output of, any and all stages of the research process. For this version of the model (V1.0), we only consider Research Objects* that are Digital Objects*, as we have confined the model to digital and e-infrastructures.</t>
  </si>
  <si>
    <t>Research Software*</t>
  </si>
  <si>
    <t>Source code files, algorithms, scripts, computational workflows, and executables that were created during the research process or for a research purpose. Software components (e.g. operating systems, libraries, dependencies, packages, scripts, etc.) that are used for research but were not created during or with a clear research intent should be considered software in research and not Research Software*.</t>
  </si>
  <si>
    <t>Amsterdam Declaration on Funding Research Software* Sustainability [V0.3, 2023] (https://zenodo.org/record/7330542#.Y5ts83bMJdg)</t>
  </si>
  <si>
    <t>Rules of Participation &amp; Access* (RoP) (essential element*)</t>
  </si>
  <si>
    <t>A set of policies defining a minimal set of rights, obligations, and accountability governing the activities of those participating in the commons*.</t>
  </si>
  <si>
    <t>Adapted from the GORC-IG typology, from EOSC, essential element*</t>
  </si>
  <si>
    <t>Semantic Artifacts, Semantic Objects*</t>
  </si>
  <si>
    <t>Semantic Objects* are a named grouping of descriptive elements that sufficiently describe a distinct identity. Semantic Objects* may be in the form of documentation, Research Software*, or research data*. They may also be referred to as Semantic Artefacts*, defined as groups of entities with unique identifiers where entities include subjects, predicates, and objects that can be linked together to form a network that describes a dataset. In this model, Semantic Objects*/Artefacts are not considered as collections, since collections are comprised of Research Objects* and not entities.</t>
  </si>
  <si>
    <t>Adapted from D2.1 Report on fair requirements for persistence and Interoperability [2019, FAIRsFAIR]</t>
  </si>
  <si>
    <t>Service* (essential element*)</t>
  </si>
  <si>
    <t>Any commons* element that can be invoked by Users* to perform some action on their behalf.</t>
  </si>
  <si>
    <t>Adapted from the GORC-IG typology, from IVOA, essential element*</t>
  </si>
  <si>
    <t>Data Service*: any Service* that acts on at least one component of the ‘holy trinity of data management’: the bit sequence, the Metadata* and the PID* of a digital object*. This includes Services* that bind these components together (e.g. associating Metadata* with a bit sequence), Services* that deliver data to the User*, Services* that automatically analyze or transform data, Services* that aggregate and index Metadata*, Services* that store or replicate data, etc</t>
  </si>
  <si>
    <t>M2.7: Assessment report on 'FAIRness of Services*' [2020, FAIRsFAIR] (https://doi.org/10.5281/zenodo.5470375)</t>
  </si>
  <si>
    <t>Stakeholder*</t>
  </si>
  <si>
    <t>Any human individual or entity that represent themself or a non-human (animal, plant, land, resource, or technology) entity or group that is associated with, is a member of, participates in, provides to, or uses the commons* past, present, and future.
e.g. Producers, Users*, and re-Users* of research data; Funders of research infrastructures and the production of research data; Policy developers for research data management
e.g. “Core”: governance* bodies and committees, Members*, secretariat; Funders and influencers: national ministries and agencies, public science funders and councils, intergovernmental bodies and organizations, foundations and charities, industry; Users*, data controbiters, data Publishers*: individuals and organizations such as intergovernmental bodies and others, and projects; Discipline or otherwise related informatics: other infrastructures, IT departments at related institutions, standardization bodies, projects, and other initiatives</t>
  </si>
  <si>
    <t>Briefing Paper on EOSC: Federating Research Infrastructures in Europe for Fair Access to Data [2022] (https://www.scienceeurope.org/our-resources/briefing-paper-on-eosc/)
Twenty-Year Review of GBIF (https://doi.org/10.35035/ctzm-hz97)</t>
  </si>
  <si>
    <t>Standards &amp; Conventions*, Standards* (essential element*)</t>
  </si>
  <si>
    <t>A standard* is a repeatable, harmonized, agreed and documented way of doing something. They are typically certified by an official endorsing body (e.g. ISO) and are formally recognized. A convention* is similar in that they define a way in which something is usually done, but will typically be informal and specific to the internal operations of the commons*. Conventions*, as used in this model, are considered at least repeatable and agreed upon within the commons*, if not also documented and harmonized.</t>
  </si>
  <si>
    <t>Adapted from the GORC-IG typology, from IRENA, essential element*, developed in Phase 2 Evaluation (May - September 2023)</t>
  </si>
  <si>
    <t>Sustainability* (essential element*)</t>
  </si>
  <si>
    <t>Models and agreements made on how to fund or resource activities in a way that can be sustained over the long term.</t>
  </si>
  <si>
    <t>Tool* (essential element*)</t>
  </si>
  <si>
    <t>Any commons* element that enables Users* to perform one or more operations, typically on data with data as the output.</t>
  </si>
  <si>
    <t>Users*</t>
  </si>
  <si>
    <t>Individuals, humans or machines, that use a Service* of the commons* or are the recipient or beneficiary of a Service*. Users* may also be Members* and Providers*, but in this role are not required to contribute anything to the commons*. E.x. a User* types keywords into a search bar to find relevant datasets</t>
  </si>
  <si>
    <t>Version*, Versioning*</t>
  </si>
  <si>
    <t>The saved state of a Research Object*, process, or configuration that is unique from previous states. Versioning* includes revisions (successive) and variants (parallel), as well as dedicated releases. Types of versioning* include storing modified copies in their entirety, storing deltas between states, offsets in append-only Research Objects*, versioning* individual records, and versioning* pipelines to recreate derived Research Objects*.</t>
  </si>
  <si>
    <t>Influenced by https://ckaestne.medium.com/versioning-Provenance-and-reproducibility-in-production-machine-learning-355c48665005</t>
  </si>
  <si>
    <t>Essential Element*: Governance &amp; Leadership*</t>
  </si>
  <si>
    <t>Items in active view:</t>
  </si>
  <si>
    <t>Category*</t>
  </si>
  <si>
    <t>Subcategory*</t>
  </si>
  <si>
    <t>Extended Description</t>
  </si>
  <si>
    <t>Examples</t>
  </si>
  <si>
    <t>Primary Source(s)</t>
  </si>
  <si>
    <t>Commons* intent and definition</t>
  </si>
  <si>
    <t>Core</t>
  </si>
  <si>
    <t>Statement of current commons* nature, mandate, and value proposition. Reference to any prior mandates and how the commons* has changed over time.</t>
  </si>
  <si>
    <t>e.g. type of authority (formally government mandated or informally community* driven), scope of Services*
e.g. the commons* carefully considers actions to avoid scope creep, i.e. unplanned or unmanaged growth, that could cause issues with resources or impede on other organizations’ area of work.</t>
  </si>
  <si>
    <t>Phase 1 Workshop (co-located with RDA P20, 24 March 2023)
Twenty-Year Review of GBIF (https://doi.org/10.35035/ctzm-hz97)</t>
  </si>
  <si>
    <t>Identification and definition of the commons* community* and stakeholders, how their needs intersect with the commons*, and how the commons* engages with the community* to fulfill their needs</t>
  </si>
  <si>
    <t>e.g. through environmental scanning (landscape reviews, etc.) to find needs, wants, aspirations of stakeholders ; competitive advantage (i,e, gaps in current Services*), community*-aligned policies and operations;
e.g. Identification and communication of value chains at varying levels (e.g. biosphere &gt; biodiversity &gt; impact on society, data &gt; information &gt; knowledge &gt; impact on a sector of application ) and usage of “success stories”, where value chains and quantitative metrics* are combined to illustrate narratives to specific stakeholders (e.g. # of citations for science funder, monetary value for agency of economic development) 
e.g. Different value propositions for different stakeholder groups (e.g. researchers, citizen scientists, industry and enterprises, universities, standard development organizations, policy making organizations, specialized Service* Providers*, research funding agencies, research infrastructure and e-Infrastructure)
e.g.There is a statement, listing, or set of collections* that illustrates the higher-level subject areas/disciplines that the commons** covers or includes, as well as cross-disciplinary domain</t>
  </si>
  <si>
    <t>The four pillars of governance best practice for New Zealand Directors (https://www.iod.org.nz/resources-and-insights/4-pillars-landing-page/#)
Twenty-Year Review of GBIF (https://doi.org/10.35035/ctzm-hz97)
D5.1 FAIRsFAIR Communication, Marketing and Engagement Plan [2019. FAIRsFAIR] (https://doi.org/10.5281/zenodo.6656060)
RDA Fairsharing WG</t>
  </si>
  <si>
    <t>Development of mission and vision statements and making them accessible publicly</t>
  </si>
  <si>
    <t>A vision statement is a statement of an organization’s overarching aspirations of what it hopes to achieve or to become. A mission statement describes what the organization needs to do now to achieve the vision. Mission and vision statements support each other, and neither list specific goals or actions. The mission statement however, is more actionable and leads to the creation of strategic goals.</t>
  </si>
  <si>
    <t>EX.  The vision of the ISC is science as a global public good. The mission of the ISC is to act as the global voice of and for science. The strategic goals are that the ISC: acts as the legitimate and effective voice of science all over the world, particularly to the many components of the international policy community*  ;  serves as a thought leader in the evolution of science and science systems  ; stimulates and support the coordination of international scientific endeavours on major issues of global concern ;  promotes the appropriate and effective use of science in policy making, societal decision making and diplomacy, including by increasing trust in science and by defending freedom and responsibility in science ; acts with assurance and professionalism on behalf of a diverse, strong, global constituency of scientists. 
Source: (https://council.science/about-us/)</t>
  </si>
  <si>
    <t>GORC-IG Typology (https://docs.google.com/document/d/19222GItDg3tcrLsDUqg9Z7GLwPELaS-XHEbN6796Tvc/edit?usp=sharing)</t>
  </si>
  <si>
    <t>Development of values and/or guidance principles</t>
  </si>
  <si>
    <t>The values statement defines what the organization believes in and how people in the organization are expected to behave. Principles may be defined for overarching conditions (e.g ethics and integrity, inclusiveness, respect to scientific freedom etc) and for guiding the mission/objectives of the commons* (openness, excellence, quality, impact etc).</t>
  </si>
  <si>
    <t>EX: In fulfilling its role, the values that the Council will uphold in its work, its governance* and its
partnerships include: • Excellence and professionalism ; • Inclusivity and diversity ; • Transparency and integrity ;• Innovation and sustainability (https://council.science/wp-content/uploads/2020/06/ISC-Statutes-and-Rules-of-Procedure_02.2021.pdf)
e.g. openness, transparency, honesty, equity, fair competition, objectivity, democratic participation</t>
  </si>
  <si>
    <t>Commons* Strategic Planning</t>
  </si>
  <si>
    <t>i.e. including governance* structure, stakeholder* strategy, sustainable operational strategy, and a strategy for the future</t>
  </si>
  <si>
    <t>Task Group 1 Phase 1 Evaluation (October 2022 - April 2023)</t>
  </si>
  <si>
    <t>Development of strategy</t>
  </si>
  <si>
    <t>addressing how it responds to customer segments and delivers value propositions and meet its mandate etc.</t>
  </si>
  <si>
    <t>Phase 2 Evaluation (May - September 2023)</t>
  </si>
  <si>
    <t>Strategic planning influences and approaches</t>
  </si>
  <si>
    <t>i.e. non-research or organization specific influences on how strategy is created or how strategic planning should progress. This speaks to strategic planning frameworks and methods.</t>
  </si>
  <si>
    <t>e.g. Consideration for shareholder vs stakeholder prioritization in strategies and planning, where a hybridization is possible
e.g. Balance between performance and conformance in setting strategic goals, expectations, and metrics* (Performance here means: setting and monitoring strategy, strategic risk management, long-term attraction and allocation of human, physical, and financial matters ; Conformance means controls, reporting, compliance)</t>
  </si>
  <si>
    <t>Desirable</t>
  </si>
  <si>
    <t>The four pillars of governance best practice for New Zealand Directors (https://www.iod.org.nz/resources-and-insights/4-pillars-landing-page/#)</t>
  </si>
  <si>
    <t>Development of relevant roadmaps</t>
  </si>
  <si>
    <t>e.g. investment roadmap, platform* roadmap, technology roadmap</t>
  </si>
  <si>
    <t>Phase 1 Workshop (co-located with RDA P20, 24 March 2023)</t>
  </si>
  <si>
    <t>Development of organizational performance and capability metrics*</t>
  </si>
  <si>
    <t>e.g. Metrics* for 6 capitals: financial, manufactured, intellectual, human, social, relationship, natural
e.g. Organizational design and capability/practise maturity,  including both quantitative and qualitative KPIs*, goals, and milestones</t>
  </si>
  <si>
    <t>A monitoring organizational design or organizational performance system to gather qualitative and quantitative metrics*</t>
  </si>
  <si>
    <t>e.g. such as a task group or other governance* body that designs, decides on, gathers data for, and presents KPIs*</t>
  </si>
  <si>
    <t>Speaker Series - EOSC: https://eosc.eu/sites/default/files/2022-05/Monitoring%20Framework.pdf, from https://eosc.eu/key-performance-indicators-KPIs-monitoring</t>
  </si>
  <si>
    <t>Regular strategic review and alignment exercises</t>
  </si>
  <si>
    <t>i.e. including evaluation of KPIs*, purpose and direction of the commons*, and all governance* aspects; policy feedback cycles; identification of strategic elements; linkage to international landscape / ecosystem through needs assessments, Considerations for growth, e.g. more rigorous separation of governance* and management, changes to strategic planning, Assess environment (landscape review) including: political, economic, social, technological, environmental, legal, conduct competitor/market analysis</t>
  </si>
  <si>
    <t>e.g. through internal audits
e.g. annual reviews as well as long-term reviews, such as decadal reviews</t>
  </si>
  <si>
    <t>Task Group 1 Phase 1 Evaluation (October 2022 - April 2023)
The four pillars of governance best practice for New Zealand Directors (https://www.iod.org.nz/resources-and-insights/4-pillars-landing-page/#)</t>
  </si>
  <si>
    <t>Development and implementation of community* relations</t>
  </si>
  <si>
    <t>i.e. Engagement* with stakeholders on matters that affect them and Shareholder relations (if applicable</t>
  </si>
  <si>
    <t>e.g. Indigenous community* partnerships c.f. constitution, commercial relationship building</t>
  </si>
  <si>
    <t>GORC-IG Typology (https://docs.google.com/document/d/19222GItDg3tcrLsDUqg9Z7GLwPELaS-XHEbN6796Tvc/edit?usp=sharing)
The four pillars of governance best practice for New Zealand Directors (https://www.iod.org.nz/resources-and-insights/4-pillars-landing-page/#)</t>
  </si>
  <si>
    <t xml:space="preserve">Funding and Resourcing Frameworks
</t>
  </si>
  <si>
    <t>i.e. ensuring ability to function and continue operations</t>
  </si>
  <si>
    <t xml:space="preserve"> NIST Research Data Framework (RDaF) V1.5 (https://nvlpubs.nist.gov/nistpubs/SpecialPublications/NIST.SP.1500-18r1.pdf)</t>
  </si>
  <si>
    <t>Identification of the financial and resource requirements for commons* activities</t>
  </si>
  <si>
    <t>NIST Research Data Framework (RDaF) V1.5 (https://nvlpubs.nist.gov/nistpubs/SpecialPublications/NIST.SP.1500-18r1.pdf)</t>
  </si>
  <si>
    <t>Environmental considerations</t>
  </si>
  <si>
    <t>i.e. cost of implementing or not implementing environmentally conscious or damaging practises and infrastructure</t>
  </si>
  <si>
    <t>e.g. climate change and carbon footprint, environmental protection, biodiversity, pollution and resource depletion, water use, waste management, energy, sustainable procurement</t>
  </si>
  <si>
    <t>Social considerations</t>
  </si>
  <si>
    <t>i.e. cost of implementing appropriate social obligations for Internal Personnel* and the commons* community*</t>
  </si>
  <si>
    <t>e.g. health and safety, labour standards*, human rights, fair trade, harassment/discrimination, people management, diversity and equality, supply chain management, privacy and ethics, consumer responsibility</t>
  </si>
  <si>
    <t>Governance* considerations</t>
  </si>
  <si>
    <t>i.e. cost of governance* operations</t>
  </si>
  <si>
    <t>e.g. board composition and diversity, leadership, remuneration, shareholder rights, ethics, whistle blowing, disclosure and transparency, risk management, anti-bribery and corruption, stakeholder engagement*</t>
  </si>
  <si>
    <t>Demonstration of added value</t>
  </si>
  <si>
    <t>Includes assessing cost (financial or otherwise) by stage or area of focus within the commons* and downstream costs.</t>
  </si>
  <si>
    <t>e.g. Economic impact of reuse of ROs (feeds into value statement of commons*), open source software and Tool* development and use
e.g. Cost-benefit analysis for Sustainability* options</t>
  </si>
  <si>
    <t xml:space="preserve">Risk Management Frameworks
</t>
  </si>
  <si>
    <t xml:space="preserve">May have different frameworks for different types and impacts of risk, such as for governance*, management, technical and operational, related to Sustainability* etc. </t>
  </si>
  <si>
    <t xml:space="preserve">contingency plans to ensure Research Objects* are available and maintained during and after unforeseen events </t>
  </si>
  <si>
    <t>Identification of risks and issues</t>
  </si>
  <si>
    <t>e.g. through considerations for crises (economic (strike, market crash), financial (unexpected loss of finances), informational (cyber-attacks or leaks), physical (loss or breakdown of equipment), health (pandemics), human resources (loss of personnel), reputation, as a result of human acts (sabotage, terrorism, workplace violence), natural disasters)
e.g. risk perception and literal risk</t>
  </si>
  <si>
    <t>Development of risk management frameworks</t>
  </si>
  <si>
    <t xml:space="preserve"> If a full framework is untenable, a risk strategy with key considerations may suffice. The developmet of risk management frameworks considers the balance between the liklihood of the risk and the impact.</t>
  </si>
  <si>
    <t>Business continuity planning</t>
  </si>
  <si>
    <t>i.e. including how to manage identified risks, and disaster recovery plan (i.e. covering health and safety of workers, alternate premises, alternative technology platforms, key personnel strategy, plans that include customers or contractors on site, financial management including payroll systems, media management plan, infrastructure safety, essential Services*, communications, management of data and key documents)</t>
  </si>
  <si>
    <t>Technology and information governance* planning</t>
  </si>
  <si>
    <t>i.e. considerations for cybersecurity, data protection and managing privacy breach risk, prevention of information leakage, malware risk, loss of information/data, management of capital-intensive projects, avoiding obsolescence and opportunity costs, data breach reporting, compliance with privacy and IP laws,</t>
  </si>
  <si>
    <t>Health and safety governance* planning</t>
  </si>
  <si>
    <t>i.e. considerations for risk culture, setting policies, mental health and wellbeing</t>
  </si>
  <si>
    <t>Human rights risk identification and management</t>
  </si>
  <si>
    <t>i.e. considering safe working conditions, fair wages, protection from forced labour, freedom from harassment and discrimination through protection, respect, remedies to breaches</t>
  </si>
  <si>
    <t>Implementation and operationalization of risk management frameworks</t>
  </si>
  <si>
    <t>e.g. Insurance and indemnities, including a set claims process</t>
  </si>
  <si>
    <t xml:space="preserve">Policy advocacy, and recommendations
</t>
  </si>
  <si>
    <t>Advocacy towards policy makers and other stakeholders* ( i.e. Governance and leadership* role in advocacy, aligned with mission and mandate) as well as the research community*</t>
  </si>
  <si>
    <t>setting or informing national policy, research discipline-specific policies</t>
  </si>
  <si>
    <t>Organizational structures, designs, ways of working, and capability maturity level for the aims and context of the commons*</t>
  </si>
  <si>
    <t>Including a clear definition of working relationships 
between governance* and management</t>
  </si>
  <si>
    <t>Explicit decision making processes, specifying who makes decisions in what scenarios and when</t>
  </si>
  <si>
    <r>
      <rPr>
        <rFont val="Roboto, Arial"/>
      </rPr>
      <t xml:space="preserve">GORC-WG Case Statement: </t>
    </r>
    <r>
      <rPr>
        <rFont val="Roboto, Arial"/>
        <color rgb="FF1155CC"/>
        <u/>
      </rPr>
      <t>https://www.rd-alliance.org/sites/default/files/GORC%20International%20Model%20WG_%20Case%20Statement%20V4%20July%202021.pdf</t>
    </r>
    <r>
      <rPr>
        <rFont val="Roboto, Arial"/>
      </rPr>
      <t>, National Data Services IG: h</t>
    </r>
    <r>
      <rPr>
        <rFont val="Roboto, Arial"/>
        <color rgb="FF1155CC"/>
        <u/>
      </rPr>
      <t>ttps://www.rd-alliance.org/groups/national-data-Services.html</t>
    </r>
  </si>
  <si>
    <t>Formal reporting framework</t>
  </si>
  <si>
    <t>i.e. reporting from Management to Governance*, Governance* reporting to funders, etc.</t>
  </si>
  <si>
    <t>e.g. Monitoring and reporting on Key performance indicators and trend data, Monitoring of Rules of Participation &amp; Access* and compliance, reporting on the qualitative and quantitative compliance with the rules of participation, Management reports, Operational reports</t>
  </si>
  <si>
    <r>
      <rPr>
        <rFont val="Arial"/>
      </rPr>
      <t xml:space="preserve">Speaker Series - EOSC: https://eosc.eu/sites/default/files/2022-05/Monitoring%20Framework.pdf, from </t>
    </r>
    <r>
      <rPr>
        <rFont val="Arial"/>
        <color rgb="FF1155CC"/>
        <u/>
      </rPr>
      <t>https://eosc.eu/key-performance-indicators-KPIs-monitoring</t>
    </r>
    <r>
      <rPr>
        <rFont val="Arial"/>
      </rPr>
      <t>, The four pillars of governance best practice for New Zealand Directors (https://www.iod.org.nz/resources-and-insights/4-pillars-landing-page/#)</t>
    </r>
  </si>
  <si>
    <t>Systems of accountability</t>
  </si>
  <si>
    <t>e.g. Governance* holds management to account through oversight of performance and conformance matters, such as operational monitoring and evaluation</t>
  </si>
  <si>
    <t>Transparency of corporate activities</t>
  </si>
  <si>
    <t>Governance Structures appropriate for the specific characteristics of the commons*</t>
  </si>
  <si>
    <t>e.g. steering groups or boards, including external advisors where possible
e.g. board committees to target key areas of work, such as an Ethics committee - provides assurance about the commons* ethical position and monitors ethical policies and behaviours of the commons* in addition to relevant developments in the commons* community*. (e.g. staff are regularly trained in ethics, breaches of ethics are reported and investigated, liaison with stakeholders is engaged over ethical matters, ethical accountability frameworks exist and are regularly maintained)</t>
  </si>
  <si>
    <t>Phase 2 Review (Literature Analysis, November 2022 - June 2023), GORC-IG Typology, Random Encounter (SMD Data and Computing Architecture Study Workshop Series, XSEDE/ACCESS), The four pillars of governance best practice for New Zealand Directors (https://www.iod.org.nz/resources-and-insights/4-pillars-landing-page/#)</t>
  </si>
  <si>
    <t>Creation and maintenance of governance* structure</t>
  </si>
  <si>
    <t>Performed by Members* of governance* and/or supporting personnel</t>
  </si>
  <si>
    <t>Characteristics of governance* structure composition, particularly on boards</t>
  </si>
  <si>
    <t>e.g. balance of skills and experience, diversity, stability vs new Members*hip, size, balance between executive, non-executive, and independent directors, contributions from CEO and management, and tenure on the board including procedures for exiting the board (e.g. retirement, resignation, removal, disqualification)
e.g. Community* representation in the governance* structure, such as through committees, task groups, review panels, etc.</t>
  </si>
  <si>
    <t>The four pillars of governance best practice for New Zealand Directors (https://www.iod.org.nz/resources-and-insights/4-pillars-landing-page/#)
Twenty-Year Review of GBIF (https://doi.org/10.35035/ctzm-hz97)</t>
  </si>
  <si>
    <t>Mechanisms to maintain effective relationships between governance* elements, and management, stakeholders, and shareholders</t>
  </si>
  <si>
    <t>i.e. appropriate support for the board depending on scale of the commons*, such as a company secretary, corporate officer, and/or secretariat, executive committee, etc.</t>
  </si>
  <si>
    <t>e.g. governance* reports to funders</t>
  </si>
  <si>
    <t>Development and regular review of constitution(s), terms of reference, and code(s) of conduct for all governance* and management structure elements and interactions</t>
  </si>
  <si>
    <t>i.e. May be considered for each part or level of the governance* structure together or separately, as appropriate. Includes explicit board processes, Workload plans for the board (setting calendars and agenda items, including setting a chair and chair responsibilities) legal mandate to the governance* structure</t>
  </si>
  <si>
    <t>e.g. federated or multi-state commons* have the appropriate documentation for each level and component of governance*
e.g. If non-profit, definition of trustees, trustee duties, and terms of trust (e.g. if reliant on volunteers, fundraising, sponsorship, grants, or member subscriptions)
e.g. If state-sector, considerations for reporting to ministers and hosting departments
e.g. If co-operative (stakeholders are also shareholders), compliance with local laws
e.g. Code of conduct is geared for minimizing conflict and promoting debate, Board supports open debate, diversity, thoughtful challenge and constructure dissent
e.g. governance* frameworks/ standards*
e.g. Commitment to professional development for directors
e.g. Considerations for eligibility for director appointment and their remuneration</t>
  </si>
  <si>
    <t>Phase 1 Workshop (co-located with RDA P20, 24 March 2023), The four pillars of governance best practice for New Zealand Directors (https://www.iod.org.nz/resources-and-insights/4-pillars-landing-page/#)</t>
  </si>
  <si>
    <t>Considerations for which committees to create on the board(s) as well as their composition, operating principles, and charter.</t>
  </si>
  <si>
    <t>May be permanent or temporary, created and resolved over time.
e.g. audit, nomination [board succession planning], remuneration [people and human capital matters]</t>
  </si>
  <si>
    <t>Governance* components composition and performance reviews and evaluations</t>
  </si>
  <si>
    <t>i.e. for board(s), committee(s), etc.</t>
  </si>
  <si>
    <t>e.g. Governance* accountability around policy approval and performance management</t>
  </si>
  <si>
    <t xml:space="preserve">Governance* operations and tasks regarding Management and Internal Personnel*
</t>
  </si>
  <si>
    <t>Human capital considerations, including workforce strategy, culture and conduct, diversity and inclusion, remuneration and performance management, succession planning, learning and development</t>
  </si>
  <si>
    <t xml:space="preserve">Management structures appropriate to the specific characteristics of the commons*
</t>
  </si>
  <si>
    <t>Top level management or executive level roles, such as directors, CEOs, and presidents; middle management or strategic level roles, such as senior management teach or team leads</t>
  </si>
  <si>
    <t>Task Group 1 Phase 1 Evaluation (October 2022 - April 2023), Encounter (SMD Data and Computing Architecture Study Workshop Series, XSEDE/ACCESS)</t>
  </si>
  <si>
    <t>Internal Commons* Policy Development, implementation, and review</t>
  </si>
  <si>
    <t>May be in the form of polciies, guidelines, and/or standard operating procedures (SOP)</t>
  </si>
  <si>
    <t>Development and regular maintenaince of policies, guidelines, and/or SOPs for resource matters</t>
  </si>
  <si>
    <t>e.g. Solvency requirements (e.g. financial projections, budgets, revision of assets, value of assets, contingent liabilities)</t>
  </si>
  <si>
    <t>Development and regular maintenaince of policies, guidelines, and/or SOPs for commons* operations</t>
  </si>
  <si>
    <t>i.e. Be aware of new legislation and changes in industry practise, Assess how these changes affect the organization, Assess how the changes affect the flow of data (collection, storage, security, access), Document and communicate changes in operating procedures., Consequences for breaches, General guidelines can be in the codes of ethics, codes of conduct, codes of practise documents.</t>
  </si>
  <si>
    <t>e.g. global Interoperability* policy influencing standards* and protocols</t>
  </si>
  <si>
    <t>GORC-IG Typology (https://docs.google.com/document/d/19222GItDg3tcrLsDUqg9Z7GLwPELaS-XHEbN6796Tvc/edit?usp=sharing), Connolly, T., &amp; Begg, C. (2015). Database Systems: A Practical Approach to Design, Implementation, and Management. Pearson Education Limited. ISBN: 978-1-292-06118-4</t>
  </si>
  <si>
    <t>Legal compliance</t>
  </si>
  <si>
    <t>e.g. Legal framework, addressing compliance with applicable laws at all levels (regional, national, pan-national, etc
e.g. control frameworks (COBIT, COSO), client or subject privacy, data protection, data access</t>
  </si>
  <si>
    <t>The four pillars of governance best practice for New Zealand Directors (https://www.iod.org.nz/resources-and-insights/4-pillars-landing-page/#), Connolly, T., &amp; Begg, C. (2015). Database Systems: A Practical Approach to Design, Implementation, and Management. Pearson Education Limited. ISBN: 978-1-292-06118-4</t>
  </si>
  <si>
    <t>Commons* records and information:</t>
  </si>
  <si>
    <t xml:space="preserve">i.e. document management policy pertaining to commons* information and documentation (i.e. NOT ROs), </t>
  </si>
  <si>
    <r>
      <rPr/>
      <t xml:space="preserve">e..g considerations for definition of “document”, retention period, access, User* definitions for documents, responsible individuals for documents, storage policy, storage protocols, e.g. share register
e.g. Policies are versioned, indexed, and semantically annotated in a policy registry to enable broad reuse in addition to any resources mandated by policies (e.g. consent forms)
e.g. implementing specific documentation framework such as </t>
    </r>
    <r>
      <rPr>
        <color rgb="FF1155CC"/>
        <u/>
      </rPr>
      <t>https://diataxis.fr/</t>
    </r>
    <r>
      <rPr/>
      <t xml:space="preserve"> </t>
    </r>
  </si>
  <si>
    <t xml:space="preserve">The four pillars of governance best practice for New Zealand Directors (https://www.iod.org.nz/resources-and-insights/4-pillars-landing-page/#)
Turning FEAR into reality - Publications Office of the EU [2018, https://data.europa.eu/doi/10.2777/1524] </t>
  </si>
  <si>
    <t>Internal Code of Conduct, supplemented by ethical standards, recruitment, human resources practises, and communication of expectations</t>
  </si>
  <si>
    <t>A Code of Conduct, among other goals, assists in bridging the gap between legal compliance and ethics, where often legislation lags behind true ethical compliance for technology.</t>
  </si>
  <si>
    <t>e.g. Workplace interactions : health and safety, bullying and intimidation, employee and customer privacy, accurate reporting of information, protecting company assets, confidentiality, IP and trade secrets, computer and data security, industrial espionage, equal employment opportunities and non-discrimination, sexual harassment, conflicts of interest
e.g. Financial interactions: investments, insider trading, expense account criteria and practises, gifts, entertainment, and gratuities, political contributions, compliance with local laws, global business practises
e.g. Interactions with Third Parties: relationships with sellers, suppliers, contractors, joint ventures partners, etc., relationships with customers, product quality and safety, advertising and marketing practices, environmental protection, dealing with the media
e.g. professional duties to the highest possible standard and carrying out duties in a legal and ethical manner are paramount.; Recognition of intellectual property rights and acknowledgement of sources; respecting privacy and confidentiality; overall concern for public health, safety, and the environment; duty to understand and comply with all relevant laws, regulations, and standards; duties to one’s superiors as well as to the public at large.</t>
  </si>
  <si>
    <t>Governance* rules, principles, and enforcement of quality for Research Objects and Services* &amp; Tools*</t>
  </si>
  <si>
    <t>i.e. Research Object* ethics, including data ethics</t>
  </si>
  <si>
    <t>Existence of a statement on the level of commitment to having Research Objects*, Services* and Tools* as open as possible and as closed as necessary,</t>
  </si>
  <si>
    <t>i.e. such that the commons* is demonstrating and implementing open access to the maximum extent possible while also being in compliance with all applicable laws and regulations applicable to it at all levels in addition to any frameworks and principles that are deemed required or desirable.</t>
  </si>
  <si>
    <t>Existence of a statement on the level of commitment to promoting, implementing, endorsing, and/or enforcing the FAIR principles.</t>
  </si>
  <si>
    <r>
      <rPr>
        <rFont val="Arial"/>
        <color rgb="FF1155CC"/>
        <u/>
      </rPr>
      <t xml:space="preserve">-Findable. Metadata* and data should be easy to find for both humans and computers.
-Accessible. Once the User* finds the required data, they need to know how they can be accessed, possibly including authentication and authorisation.
-Interoperable. The data usually need to be integrated with other data. In addition, the data need to interoperate with applications or workflows for analysis, storage, and processing.
-Reusable. To achieve this, Metadata* and data should be well-described so that they can be replicated and/or combined in different settings.
More information available at </t>
    </r>
    <r>
      <rPr>
        <rFont val="Arial"/>
        <color rgb="FF1155CC"/>
        <u/>
      </rPr>
      <t>https://www.go-fair.org/fair-principles/</t>
    </r>
    <r>
      <rPr>
        <rFont val="Arial"/>
        <color rgb="FF1155CC"/>
        <u/>
      </rPr>
      <t xml:space="preserve"> </t>
    </r>
  </si>
  <si>
    <t>Random Encounter (Library ethics), https://www.go-fair.org/fair-principles/</t>
  </si>
  <si>
    <t>Existence of a statement on the level of commitment to promoting, implementing, endorsing, and/or enforcing the CARE principles for Indigenous Data Governance*.</t>
  </si>
  <si>
    <r>
      <rPr>
        <rFont val="Arial"/>
        <color rgb="FF1155CC"/>
        <u/>
      </rPr>
      <t xml:space="preserve">i.e.  such that the commons* considers both people and purpose in their advocacy and pursuits. Specifically, considerations for:
- Collective Benefit. Data ecosystems shall be designed and function in ways that enable Indigenous Peoples to derive benefit from the data.
- Authority to Control. Indigenous Peoples’ rights and interests in Indigenous data must be recognised and their authority to control such data be empowered. 
- Responsibility. Those working with Indigenous data have a responsibility to share how those data are used to support Indigenous Peoples’ self determination and collective benefit
- Ethics. Indigenous Peoples’ rights and wellbeing should be the primary concern at all stages of the data life cycle and across the data ecosystem.
More information available at </t>
    </r>
    <r>
      <rPr>
        <rFont val="Arial"/>
        <color rgb="FF1155CC"/>
        <u/>
      </rPr>
      <t>https://www.gida-global.org/care.</t>
    </r>
  </si>
  <si>
    <t>Random Encounter (Library ethics), https://www.gida-global.org/care</t>
  </si>
  <si>
    <t>A statement on the level of commitment to equity, diversity, inclusion, and where appropriate, Indigenization (EDII*), for the commons* community</t>
  </si>
  <si>
    <t>e.g. Any statement or embodiment encompassing EDII* specified in public-facing documentation, events, actions, or other programming.</t>
  </si>
  <si>
    <t>Random Encounter (Library ethics)</t>
  </si>
  <si>
    <t>For commons* with any digital Repository* aspects, existence of a statement on the level of commitment to promoting, implementing, endorsing, and/or enforcing the TRUST principles for digital Repositories*.</t>
  </si>
  <si>
    <r>
      <rPr>
        <rFont val="Arial"/>
        <color rgb="FF1155CC"/>
        <u/>
      </rPr>
      <t xml:space="preserve">-Transparency. To be transparent about specific Repository* Services* and data holdings that are verifiable by publicly accessible evidence.
- Responsibility. To be responsible for ensuring the authenticity and integrity of data holdings and for the reliability and persistence of its Service*.
- User* Focus. To ensure that the data management norms and expectations of target User* communities are met.
- Sustainability*. To sustain Services* and preserve data holdings for the long-term.
- Technology. To provide infrastructure and capabilities to support secure, persistent, and reliable Services*.
More information available at </t>
    </r>
    <r>
      <rPr>
        <rFont val="Arial"/>
        <color rgb="FF1155CC"/>
        <u/>
      </rPr>
      <t>https://www.rd-alliance.org/rda-community*-effort-trust-principles-digital-Repositories*</t>
    </r>
  </si>
  <si>
    <t>Random Encounter (Library ethics), https://doi.org/10.1038/s41597-020-0486-7</t>
  </si>
  <si>
    <t>Existence of a statement on the level of commitment to promoting, implementing, endorsing, and/or enforcing environmental Sustainability* in all aspects and actions of the commons*.</t>
  </si>
  <si>
    <t>Where appropriate, existence of a statement on the level of commitment to upholding any other frameworks relevant to the commons*.</t>
  </si>
  <si>
    <r>
      <rPr>
        <rFont val="Arial"/>
      </rPr>
      <t xml:space="preserve">e.g. Paris accord
e.g. considering the Sendai Framework for Disaster Risk Reduction within commons*-targeted projects and fields of research, including: Promoting the collection, analysis, management and use of relevant data (to disaster risks) and practical information and ensure its dissemination, taking into account the needs of different categories of Users*, as appropriate; Make non-sensitive hazard-exposure, vulnerability, risk, disaster and loss-disaggregated information freely available and accessible, as appropriate; Promote real time access to reliable data, make use of space and in situ information, including geographic information systems (GIS), and use information and communications technology innovations to enhance measurement Tools* and the collection, analysis and dissemination of data; To build the knowledge of government officials at all levels, civil society, communities and volunteers, as well as the private sector, through sharing experiences, lessons learned, good practices and training and education on disaster risk reduction, including the use of existing training and education mechanisms and peer learning; To promote and improve dialogue and cooperation among scientific and technological communities, other relevant stakeholders and policymakers in order to facilitate a science-policy interface for effective decision-making in disaster risk management; To ensure the use of traditional, indigenous and local knowledge and practices, as appropriate, to complement scientific knowledge in disaster risk assessment and the development and implementation of policies, strategies, plans and programmes of specific sectors, with a cross-sectoral approach, which should be tailored to localities and to the context; To strengthen technical and scientific capacity to capitalize on and consolidate existing knowledge and to develop and apply methodologies and models to assess disaster risks, vulnerabilities and exposure to all hazards; To promote investments in innovation and technology development in long-term, multi-hazard and solution-driven research in disaster risk management to address gaps, obstacles, interdependencies and social, economic, educational and environmental challenges and disaster risks; To promote the incorporation of disaster risk knowledge, including disaster prevention, mitigation, preparedness, response, recovery and rehabilitation, in formal and non-formal education, as well as in civic education at all levels, as well as in professional education and training; To promote national strategies to strengthen public education and awareness in disaster risk reduction, including disaster risk information and knowledge, through campaigns, social media and community* mobilization, taking into account specific audiences and their needs; To enhance collaboration among people at the local level to disseminate disaster risk information through the involvement of community*-based organizations and nongovernmental organizations.; To enhance the development and dissemination of science-based methodologies and Tools* to record and share disaster losses and relevant disaggregated data and statistics, as well as to strengthen disaster risk modelling, assessment, mapping, monitoring and multi-hazard early warning systems; To promote the conduct of comprehensive surveys on multi-hazard disaster risks and the development of regional disaster risk assessments and maps, including climate change scenarios; To promote and enhance, through international cooperation, including technology transfer, access to and the sharing and use of non-sensitive data and information, as appropriate, communications and geospatial and space-based technologies and related Services*; To promote common efforts in partnership with the scientific and technological community*, academia and the private sector to establish, disseminate and share good practices internationally; To support the development of local, national, regional and global User*-friendly systems and Services* for the exchange of information on good practices, cost-effective and easy-to-use disaster risk reduction technologies and lessons learned on policies, plans and measures for disaster risk reduction; To develop effective global and regional campaigns as instruments for public awareness and education, building on the existing ones; To enhance the scientific and technical work on disaster risk reduction and its mobilization through the coordination of existing networks and scientific research institutions at all levels and in all regions; To encourage the availability of copyrighted and patented materials, including through negotiated concessions, as appropriate; To enhance access to and support for innovation and technology, as well as in long-term, multi-hazard and solution-driven research and development in the field of disaster risk management
e.g. </t>
    </r>
    <r>
      <rPr>
        <rFont val="Arial"/>
        <color rgb="FF1155CC"/>
        <u/>
      </rPr>
      <t>https://diataxis.fr/</t>
    </r>
    <r>
      <rPr>
        <rFont val="Arial"/>
      </rPr>
      <t xml:space="preserve"> </t>
    </r>
  </si>
  <si>
    <t>Sendai Framework (https://www.preventionweb.net/files/resolutions/N1516716.pdf?_gl=1*d3kn33*_ga*MjAxNDQ1NTg0MC4xNjY2NjIwOTgw*_ga_D8G5WXP6YM*MTY2NjYzMTY4My4xLjEuMTY2NjYzMTk3OS4wLjAuMA..) [2015]</t>
  </si>
  <si>
    <t>Ongoing review of community* rights and obligations</t>
  </si>
  <si>
    <t>i.e.  including legal and regulatory compliance, intellectual property and copyright requirements, and data ethics</t>
  </si>
  <si>
    <r>
      <rPr>
        <rFont val="Arial"/>
        <color rgb="FF1155CC"/>
        <u/>
      </rPr>
      <t xml:space="preserve">NIST RDaF: https://www.nist.gov/system/files/documents/2021/05/12/RDaF%20Preliminary%20Framework%20Core%2005-12-21_0.pdf, from </t>
    </r>
    <r>
      <rPr>
        <rFont val="Arial"/>
        <color rgb="FF1155CC"/>
        <u/>
      </rPr>
      <t>https://www.nist.gov/programs-projects/research-data-framework-rdaf</t>
    </r>
    <r>
      <rPr>
        <rFont val="Arial"/>
        <color rgb="FF1155CC"/>
        <u/>
      </rPr>
      <t xml:space="preserve"> , Big Data Maturity Matrix (https://unstats.un.org/bigdata/task-teams/training/Big%20Data%20Maturity%20Matrix%20v1.0.pdf)</t>
    </r>
  </si>
  <si>
    <t>Ongoing review of management of community* rights and obligations through accountability measures.</t>
  </si>
  <si>
    <t>For Repositories* and Services* dealing with sensitive data, appropriate levels of commitment to legal and non-legal approaches that protect against sensitive information compromise</t>
  </si>
  <si>
    <t>Essential Element*: Rules of Participation &amp; Access*</t>
  </si>
  <si>
    <t>Definition of community* of Users* and Providers*</t>
  </si>
  <si>
    <t>i.e. any definitions or specifications on who can participate in the research commons* as a User* or Provider* with direct access and AAI rights, with reference to the audience defined in the commons* strategic plan. Depending on the policy and use, may be an operational definition.</t>
  </si>
  <si>
    <t>e.g. the commons* accepts Research Object* deposits from and provides Services* to anyone regardless of affiliation; the commons* accepts Research Object* deposits from and provides Services* to the hosting institution, region, country, etc. ; the commons* accepts research deposit from and provides Services* to specific entities other than the hosting entities; etc.
e.g. anyone with this account type is a part of the commons by default (e.g. EGI account holders can access CSTCloud)</t>
  </si>
  <si>
    <t>Speaker Series (NII, KISTI, ARDC); re3data Data Quality Assurance Survey (Q01), Phase 2 Evaluation (May - September 2023)</t>
  </si>
  <si>
    <t>A set of policies defining a minimal set of rights and obligations for the commons* community</t>
  </si>
  <si>
    <t xml:space="preserve">May be a singular policy document with several sections addressing different aspects of rights and obligations, or several specific policies. May also be grouped with accountability in a larger rules of participation and access* document for the commons*. </t>
  </si>
  <si>
    <t>Access policy</t>
  </si>
  <si>
    <t>A legal framework for access to Research Objects*, Services* and Tools* provided by or through the commons* (i.e. computing time, digitalisation Services*, data curation etc). and sharing of Research Objects*, in addition to a Guide or policy detailing how to share Research Objects*.</t>
  </si>
  <si>
    <t>Phase 1 Workshop (co-located with RDA P20, 24 March 2023) ; Big Data Maturity Matrix (https://unstats.un.org/bigdata/task-teams/training/Big%20Data%20Maturity%20Matrix%20v1.0.pdf)</t>
  </si>
  <si>
    <t>Reuse Policy</t>
  </si>
  <si>
    <t>A guide or policy detailing how to reuse Research Objects*, addressing intellectual property rights, data licenses, and copyright requirements.</t>
  </si>
  <si>
    <r>
      <rPr>
        <rFont val="Arial"/>
      </rPr>
      <t xml:space="preserve">Phase 2 Review (Literature Analysis, November 2022 - June 2023), </t>
    </r>
    <r>
      <rPr>
        <rFont val="Arial"/>
        <color rgb="FF1155CC"/>
        <u/>
      </rPr>
      <t>https://data.research.cornell.edu/data-management/sharing/intellectual-property/</t>
    </r>
  </si>
  <si>
    <t>Allocation of resources policy</t>
  </si>
  <si>
    <t>A plan for the distribution of human and technological resources in keeping with the Commons* mission or specific KPI*s</t>
  </si>
  <si>
    <t>Phase 1 Workshop (co-located with RDA P20, 24 March 2023), Phase 2 Review (Literature Analysis, November 2022 - June 2023)</t>
  </si>
  <si>
    <t xml:space="preserve">Privacy policy
</t>
  </si>
  <si>
    <t>An openly available data and Research Object* privacy policy or policies, encompassing all Research Objects* hosted by the commons* and consistent for all users*.</t>
  </si>
  <si>
    <r>
      <rPr>
        <rFont val="Arial"/>
      </rPr>
      <t xml:space="preserve">Phase 1 Workshop (co-located with RDA P20, 24 March 2023) ; GORC-WG Case Statement: </t>
    </r>
    <r>
      <rPr>
        <rFont val="Arial"/>
        <color rgb="FF1155CC"/>
        <u/>
      </rPr>
      <t>https://www.rd-alliance.org/sites/default/files/GORC%20International%20Model%20WG_%20Case%20Statement%20V4%20July%202021.pdf</t>
    </r>
  </si>
  <si>
    <t>Retention policy</t>
  </si>
  <si>
    <t xml:space="preserve"> i.e. for Research Objects* stored or listed within the commons*</t>
  </si>
  <si>
    <t xml:space="preserve"> Research Objects* are assessed based on their use, impact, value, uniqueness, cost, provenance*, and legal and regulatory requirements relating to preservation, considerations for technical decisions (archiving), adminitrative or policy decisions, deaccessioning and end-of-life, legal documents, Recognition of removed data (tombstone)</t>
  </si>
  <si>
    <t>Supplemental Information to the NIH Policy for Data Management and Sharing: Selecting a Repository for Data Resulting from NIH-Supported Research (https://grants.nih.gov/grants/guide/notice-files/NOT-OD-21-016.html) NIST Research Data Framework (RDaF) V1.5 (https://nvlpubs.nist.gov/nistpubs/SpecialPublications/NIST.SP.1500-18r1.pdf)</t>
  </si>
  <si>
    <t>Attribution policy</t>
  </si>
  <si>
    <t xml:space="preserve"> i.e. attribution to owners and contributors on for Research Objects*, Services* and Tools*</t>
  </si>
  <si>
    <r>
      <rPr>
        <rFont val="Arial"/>
      </rPr>
      <t xml:space="preserve">e.g. https://creativecommons.org/choose/; </t>
    </r>
    <r>
      <rPr>
        <rFont val="Arial"/>
        <color rgb="FF1155CC"/>
        <u/>
      </rPr>
      <t>https://opendatacommons.org/</t>
    </r>
  </si>
  <si>
    <t>Twenty-Year Review of GBIF (https://doi.org/10.35035/ctzm-hz97)</t>
  </si>
  <si>
    <t>A set of policies defining minimal accountability for the commons* community</t>
  </si>
  <si>
    <t xml:space="preserve">May be a singular policy document with several sections addressing different aspects of accountability, or several specific policies. May also be grouped with rights and obligations in a larger rules of participation and access* document for the commons*. </t>
  </si>
  <si>
    <t>Acceptable Use Policy</t>
  </si>
  <si>
    <t xml:space="preserve"> Also referred to as "terms of use", "terms of Service*", addressing Users* and Providers* of Research Objects*, Services*, and Tools* including third party Service* Providers* and the commons* on the whole.</t>
  </si>
  <si>
    <t>Consequences of provided Research Objects* not meeting quality expectations</t>
  </si>
  <si>
    <t>i.e. that supports and reflects the quality assurance process the commons* offers</t>
  </si>
  <si>
    <t>e.g. Metadata* is incomplete, and Providers* have some set number of days to revise and resubmit
e.g. required changes for Publication* or rejection.
e.g. corrupted files or format is incorrect, Providers* have some set time limit to remedy and resubmit
e.g. punitive action for repeated, deliberate unqualified or inappropriate submissions or usage of Services*, such as mining bitcoin</t>
  </si>
  <si>
    <t>Data Quality Assurance at Research Data Repositories (re3data quality assurance survey analysis : https://datascience.codata.org/article/10.5334/dsj-2022-018/)</t>
  </si>
  <si>
    <t>Liability of Providers* and Users* if policies not followed</t>
  </si>
  <si>
    <t>i.e. For Providers* to provide Services* and Tools* and maintain appropriate behaviour in the provision of Services* and Tools*, and for Users* to use Research Objects*, Services* and Tools* appropriately for the purposes specified and within the parameters stated in the acceptable use policy. If individuals or entities in the commons community* are registered and identifiable, policies for misuse of the commons* (e.g. consequences)</t>
  </si>
  <si>
    <t>Big Data Maturity Matrix (https://unstats.un.org/bigdata/task-teams/training/Big%20Data%20Maturity%20Matrix%20v1.0.pdf), Phase 2 Evaluation (May - September 2023)</t>
  </si>
  <si>
    <t>Consequences for breach of contract</t>
  </si>
  <si>
    <t>i.e. consequences for the Provider* if they breach their contract with the commons* or with individual users*</t>
  </si>
  <si>
    <t>Consequences for misuse of Research Objects*, Services*, Tools*, or infrastructure</t>
  </si>
  <si>
    <t>i.e. consequences for misuse of Services*</t>
  </si>
  <si>
    <t>e.g. providing HPC Services* for mining bitcoin instead of the commons* specified mandate</t>
  </si>
  <si>
    <t>Code of Conduct</t>
  </si>
  <si>
    <t xml:space="preserve">Community* facing code of conduct applying to all individuals and entities in the commons* community*. Consider a people-oriented perspective for all commons* aspects and activities, such that local and global values for humans and their environment are prioritized.	</t>
  </si>
  <si>
    <t>minimizing harm and maximizing benefit in the commons* processes from individual research objects through large-scale activities; Ethical processes address imbalances in power, resources, and how these affect the expression of human rights and any specific population rights such as Indigenous rights; The potential future use and future harm based on ethical frameworks grounded in the values and principles of the relevant community* or communities are taken into account.</t>
  </si>
  <si>
    <t>Speaker Series, found on investigation (IVOA, EOSC, ARDC, MOSP)
Phase 1 Workshop (co-located with RDA P20, 24 March 2023), CARE principles</t>
  </si>
  <si>
    <t>Essential Element*: Sustainability*</t>
  </si>
  <si>
    <t>Plans, schemes, and implementations for resourcing and capacity building on the medium and long term</t>
  </si>
  <si>
    <t>i.e. Suitable viable plans, schemes, and implementations matching the commons* ability to execute plans, tied to the maturity and state of the commons* such that a young commons* may start at a minimal viable plan through a mature commons* focusing on scalable plans and implementations, keeping adaptability and flexibility in mind in all stages</t>
  </si>
  <si>
    <t>e.g. Capability mix, Financial forecast</t>
  </si>
  <si>
    <t>Plans, schemes, and implementations for a business model sustainable on the medium and long term</t>
  </si>
  <si>
    <t>a funding model with explicit stream(s) of investment and cost recovery, such as subscriptions, Service* payment models, reuse of existing components, grant applications and calls for proposals, structural funds (i.e. dedicated funding pots through hosting institution, government agency), and in-kind contributions), partnerships with industry, Mixed streams of investment and cost recovery (i.e. more than one kind of mechanism and mechanisms of different types)</t>
  </si>
  <si>
    <t>Phase 1 Workshop (co-located with RDA P20, 24 March 2023), Task Group 1 Phase 1 Evaluation (October 2022 - April 2023), GORC-IG Typology (https://docs.google.com/document/d/19222GItDg3tcrLsDUqg9Z7GLwPELaS-XHEbN6796Tvc/edit?usp=sharing), Twenty-Year Review of GBIF (https://doi.org/10.35035/ctzm-hz97)</t>
  </si>
  <si>
    <t>Plans, schemes, and implementations for management of human resources on the medium and long term, taking into consideration retaining accumulated knowledge</t>
  </si>
  <si>
    <t xml:space="preserve"> i.e. business continuity practises for people, skills, expertise, documentation, etc. Relating to human capacity* and governance*</t>
  </si>
  <si>
    <t>strong and consistent internal documentation practises.covering team knowledge on ways of working, playbooks, practices, Tools*, documentation methods</t>
  </si>
  <si>
    <t xml:space="preserve"> Phase 1 Workshop (co-located with RDA P20, 24 March 2023)</t>
  </si>
  <si>
    <t xml:space="preserve">Plans, schemes, and implementations for management of any other types of resources on the medium and long term.
</t>
  </si>
  <si>
    <t>in-kind contributions with trust consensus, structures, buildings, physical locations</t>
  </si>
  <si>
    <t>Optional</t>
  </si>
  <si>
    <t>Plans, schemes, and implementations for medium and long term stewardship, contextualization, usability, and accessibility of Research Objects*, Services* and Tools*</t>
  </si>
  <si>
    <t>i.e. Suitable viable plans, schemes, and implementations addressing research object*, services*, and tools* integrity, authenticity, availability, understandability, and reusability, acknowledging potential for a wide array of systems of knowledge and communities and interests
"Contextualization" here means the context of the Research Objects*, Services* and Tools*, which may be done with descriptive metadata* and documentation</t>
  </si>
  <si>
    <t>Supplemental Information to the NIH Policy for Data Management and Sharing: Selecting a Repository for Data Resulting from NIH-Supported Research (https://grants.nih.gov/grants/guide/notice-files/NOT-OD-21-016.html)
NIST Research Data Framework (RDaF) V1.5 (https://nvlpubs.nist.gov/nistpubs/SpecialPublications/NIST.SP.1500-18r1.pdf)</t>
  </si>
  <si>
    <t>ICT infrastructure* considerations</t>
  </si>
  <si>
    <t>i.e. the physical hardware and software supporting Tools* and Services* provided by or through the commons*, including relevant Standards &amp; Conventions* and Interoperability* requirements for such changes</t>
  </si>
  <si>
    <t>e.g. Considerations for dealing with obsolete hardware        
e.g. Adaptation to emergent/disruptive technologies 
e.g. Maintenance/adaptation of old technologies</t>
  </si>
  <si>
    <t>Need to balance open data and cost recovery concerns in keeping with commons goals, needs, and resources</t>
  </si>
  <si>
    <t>i.e. Consideration for the balancing of openness (which the commons may need to support and develop themselves) and private support (from proprietary providers that may require restrictions on access) to match their goals, needs, and resourcing</t>
  </si>
  <si>
    <t>e.g. A commitment to open source infrastructure development, such as the software backend for commons* Services* and Tools* being open software such that it may be easily mapped or modified to suit Interoperability* with other Services* and Tools*</t>
  </si>
  <si>
    <t>Phase 2 Evaluation (May - September 2023)
Supplemental Information to the NIH Policy for Data Management and Sharing: Selecting a Repository for Data Resulting from NIH-Supported Research (https://grants.nih.gov/grants/guide/notice-files/NOT-OD-21-016.html)
NIST Research Data Framework (RDaF) V1.5 (https://nvlpubs.nist.gov/nistpubs/SpecialPublications/NIST.SP.1500-18r1.pdf)</t>
  </si>
  <si>
    <t>Human resources considerations</t>
  </si>
  <si>
    <t>i.e. what happens to Internal Personnel* and human capacity*, governance* and management of the commons* during a scale up or scale down event(s)</t>
  </si>
  <si>
    <t>Commons* operations considerations</t>
  </si>
  <si>
    <t>i.e. what happens to commons* internal and external operations during a scale up or scale down event, relating to human capacity* and the Standards &amp; Conventions* and Interoperability* requirements for such changes</t>
  </si>
  <si>
    <t>e.g. engagement* is increased or decreased in specific ways</t>
  </si>
  <si>
    <t xml:space="preserve">Transition Plans
</t>
  </si>
  <si>
    <t xml:space="preserve"> i.e. in case the commons* ceases operations entirely, or retires a specific Service*, Tool*, or infrastructure. The goals of transition plans should be defined in strategic planning, and may be for cessation of a Service* ot Tool*, continuation by another commons* or organization, changing Services* and Tools*, and for temporary unavailability due to maintenaince or upgrades.</t>
  </si>
  <si>
    <t>Supplemental Information to the NIH Policy for Data Management and Sharing: Selecting a Repository for Data Resulting from NIH-Supported Research (https://grants.nih.gov/grants/guide/notice-files/NOT-OD-21-016.html), NIST Research Data Framework (RDaF) V1.5 (https://nvlpubs.nist.gov/nistpubs/SpecialPublications/NIST.SP.1500-18r1.pdf)</t>
  </si>
  <si>
    <t>Scalability Plans</t>
  </si>
  <si>
    <t xml:space="preserve"> i.e. in case of overwhelming success in funding and demand, the commons* can scale up. Conversely, a failure or slowdown in need or ability can be accomodated by a scaling down.</t>
  </si>
  <si>
    <t xml:space="preserve"> Phase 2 Evaluation (May - September 2023)</t>
  </si>
  <si>
    <t>Plans, schemes, and implementations for building community* trust and maintaining it in the long term.</t>
  </si>
  <si>
    <t>i.e. Suitable viable plans, schemes, and implementations with a focus on social agency to operate, relating to governance* (strategy), rules of participation and access*, and engagement*; capturing values, co-design, equity of outcomes, and the overall mindset of the commons* as well as being showcased through appropriate and accessible KPIs* and metrics*.</t>
  </si>
  <si>
    <t>Essential Element*: Engagement*</t>
  </si>
  <si>
    <t>Structured, coordinated, and implemented communication and engagement* plans and mechanisms, media, or channels</t>
  </si>
  <si>
    <t>e.g. communications Tool*kit</t>
  </si>
  <si>
    <t>Phase 1 Workshop (co-located with RDA P20, 24 March 2023) ; GORC-IG Typology (https://docs.google.com/document/d/19222GItDg3tcrLsDUqg9Z7GLwPELaS-XHEbN6796Tvc/edit?usp=sharing), Task Group 2 Phase 1 Evaluation (October 2022 - April 2023) ; Big Data Maturity Matrix (https://unstats.un.org/bigdata/task-teams/training/Big%20Data%20Maturity%20Matrix%20v1.0.pdf) ; XSEDE final report (https://www.ideals.illinois.edu/items/124108)
NIST Research Data Framework (RDaF) V1.5 (https://nvlpubs.nist.gov/nistpubs/SpecialPublications/NIST.SP.1500-18r1.pdf)
D5.1 FAIRsFAIR Communication, Marketing and Engagement Plan [2019. FAIRsFAIR] (https://doi.org/10.5281/zenodo.6656060)
D6.2 Initial Core Competence Centre Structures [2020, FAIRsFAIR] (https://doi.org/10.5281/zenodo.3732888)</t>
  </si>
  <si>
    <t>Intent of communications or engagement*</t>
  </si>
  <si>
    <t>i.e. the purpose</t>
  </si>
  <si>
    <t>Task Group 2 Phase 2 Evaluation (May - September 2023)</t>
  </si>
  <si>
    <t>Content of communications or engagement*</t>
  </si>
  <si>
    <t xml:space="preserve">i.e. updates about the commons* structure, procedures, Services*, etc. are published and shared on a regular basis and are disseminated to Users*, or at least easily found by Users*; updates on the decision making process and what has been done with contributions, dissemination of Research Objects* hosted by the commons
</t>
  </si>
  <si>
    <t>e.g. considerations for using appropriate and balanced diction, and in particular reducing the use of jargon. EX. Using "data description" instead of "metadata" in research-focused communication.</t>
  </si>
  <si>
    <t>Task Group 2 Phase 2 Evaluation (May - September 2023), Phase 2 Review (Literature Analysis, November 2022 - June 2023)</t>
  </si>
  <si>
    <t>Audience for communications or engagement*</t>
  </si>
  <si>
    <t>i.e. who the communications content is intended for, may influence mediums chosen for dissemination</t>
  </si>
  <si>
    <t>Media and frequency for communications or engagement*</t>
  </si>
  <si>
    <t>i.e. how the communications material or engagement* content is shared on what platform and how often</t>
  </si>
  <si>
    <t>e.g. social media, blog, newsletter, journal article, supplementary material, landing pages, commons-hosted community forum, Informative events, Community* building/networking events, Strategic planning events, hackathons, etc.
e.g. yearly, quarterly, monthly, daily, bi-weekly, etc.</t>
  </si>
  <si>
    <t>Documented and public processes of the commons maintain a high level of transparency with stakeholders and the community*</t>
  </si>
  <si>
    <t>Include culturally appropriate materials and translations.</t>
  </si>
  <si>
    <t>e.g. open of training materials and resources</t>
  </si>
  <si>
    <t>Phase 2 Evaluation (May - September 2023), Task Group 2 Phase 1 Evaluation (October 2022 - April 2023), Research Metadata* schemas WG, Guidelines for publishing structured Metadata on the web, Recommendation 8</t>
  </si>
  <si>
    <t>Community* input and feedback</t>
  </si>
  <si>
    <t>e.g. community* engagement* and input as part of setting expectations for governance* decision making processes, delivery and development of Services* and Tools*</t>
  </si>
  <si>
    <t>GORC-WG Case Statement: https://www.rd-alliance.org/sites/default/files/GORC%20International%20Model%20WG_%20Case%20Statement%20V4%20July%202021.pdf</t>
  </si>
  <si>
    <t>Structured Feedback, to acquire input</t>
  </si>
  <si>
    <t>e.g. User* feedback and community* surveys, mechanism for User* review and rating of Research Objects* (e.g. stars, text reviews, comments), Ability to report errors in the Research Object*, consultations with individuals from the research commons community* (i.e. for methodology development, benchmarking, testing), community*-driven needs assessment</t>
  </si>
  <si>
    <r>
      <rPr>
        <rFont val="Arial"/>
      </rPr>
      <t xml:space="preserve">Phase 2 Evaluation (May - September 2023), Phase 1 Workshop (co-located with RDA P20, 24 March 2023), re3data Data Quality Assurance Survey, Random Encounter (Leah Wassler: </t>
    </r>
    <r>
      <rPr>
        <rFont val="Arial"/>
        <color rgb="FF1155CC"/>
        <u/>
      </rPr>
      <t>https://nitter.net/LeahAWasser/status/1577730887818498049)</t>
    </r>
    <r>
      <rPr>
        <rFont val="Arial"/>
      </rPr>
      <t xml:space="preserve">, e-infra: </t>
    </r>
    <r>
      <rPr>
        <rFont val="Arial"/>
        <color rgb="FF1155CC"/>
        <u/>
      </rPr>
      <t>Resource Category, https://wiki.eoscfuture.eu/display/PUBLIC/B.+v4.00+EOSC+Resource+Profile</t>
    </r>
    <r>
      <rPr>
        <rFont val="Arial"/>
      </rPr>
      <t xml:space="preserve">, Data Quality Assurance at Research Data Repositories (re3data quality assurance survey analysis : </t>
    </r>
    <r>
      <rPr>
        <rFont val="Arial"/>
        <color rgb="FF1155CC"/>
        <u/>
      </rPr>
      <t>https://datascience.codata.org/article/10.5334/dsj-2022-018/)</t>
    </r>
  </si>
  <si>
    <t>Attribution and acknowledgement for contribution, once the input has been received</t>
  </si>
  <si>
    <t>Phase 2 Evaluation (May - September 2023), Phase 1 Workshop (co-located with RDA P20, 24 March 2023)</t>
  </si>
  <si>
    <t>Response to how feedback was used, once input has been actioned and feeding into creating another call for input through structured feedback</t>
  </si>
  <si>
    <t>e.g. through gathering exercises, usability testing</t>
  </si>
  <si>
    <t>Phase 2 Evaluation (May - September 2023), Phase 1 Workshop (co-located with RDA P20, 24 March 2023), GORC-IG Typology (https://docs.google.com/document/d/19222GItDg3tcrLsDUqg9Z7GLwPELaS-XHEbN6796Tvc/edit?usp=sharing)</t>
  </si>
  <si>
    <t>Active promotion to intended audiences to participate in the commons*</t>
  </si>
  <si>
    <t>e.g. Competitions and contests
e.g. Facilitating community* and general population research engagement* (i.e. citizen science)
e.g. Events and other outreach activities promoting standards* used and created by the commons*
e.g. Encouraging data submission from recognized gaps in the commons* community, both in terms of demographic representation of Members*, Providers*, and Users* as well as topic, theme, and content-wise
e.g. commons* representatives give presentations, posters, workshops, training sessions, etc. at discipline-based meetings and professional society meetings, including conference, to both promote and to empower researchers
e.g. Ambassador and travelling ambassador programs, where advanced trainers “swap” (like a sabbatical) or travel to new locations to both gain experience and to introduce the commons*</t>
  </si>
  <si>
    <t>CURE-FAIR WG (https://www.rd-alliance.org/group/cure-fair-wg/outcomes/challenges-curating-reproducible-and-fair-research-output), Challenge #6
10 simple rules for improving research data discovery (https://doi.org/10.1371/journal.pcbi.1009768)
Speaker Series: From KISTI, see cell
GORC-IG Typology (https://docs.google.com/document/d/19222GItDg3tcrLsDUqg9Z7GLwPELaS-XHEbN6796Tvc/edit?usp=sharing)
Phase 2 Evaluation (May - September 2023), Speaker Series (IVOA)
Twenty-Year Review of GBIF (https://doi.org/10.35035/ctzm-hz97)</t>
  </si>
  <si>
    <t>Engagement with research institution librarians and information professionals</t>
  </si>
  <si>
    <t>e.g. data stewards</t>
  </si>
  <si>
    <t>CURE-FAIR WG (https://www.rd-alliance.org/group/cure-fair-wg/outcomes/challenges-curating-reproducible-and-fair-research-output), Challenge #6</t>
  </si>
  <si>
    <t>Incentivisation to intended audiences to participate in or with the Commons*</t>
  </si>
  <si>
    <t>i.e. includes both direct incentives for participation and mitigation of disincentives for participation</t>
  </si>
  <si>
    <t>e.g. incentives for data publishing, deposit, research data* management
e.g. remove or reduce barriers that limit data dissemination</t>
  </si>
  <si>
    <t>CURE-FAIR WG (https://www.rd-alliance.org/group/cure-fair-wg/outcomes/challenges-curating-reproducible-and-fair-research-output), Challenge #6
Phase 2 Evaluation (May - September 2023)
NIST Research Data Framework (RDaF) V1.5 (https://nvlpubs.nist.gov/nistpubs/SpecialPublications/NIST.SP.1500-18r1.pdf)</t>
  </si>
  <si>
    <t>Consultations or events for navigating participation and access to any and all of the commons* and research domain aspects</t>
  </si>
  <si>
    <t>e.g. Consultations, training, or events for navigating laws/legal structure; Training on researcher rights and responsibilities in research data* reuse and deposition into the commons* (e.g. RDM; storing, reusing, and analysing information; ethical issues about sharing data; legal and policy knowledge on open science; creating quality Metadata*)
e.g. Co-creating and providing institutional processes, guidance, and incentive structures to motivate RDM best practice
e.g. Encourage and enable use of commons* holdings for policy making and resource management decisions, for doing research
e.g. consultations and training on meeting deposit expectations, specifically quality assurance expectations</t>
  </si>
  <si>
    <t>Phase 1 Workshop (co-located with RDA P20, 24 March 2023), RDA-CODATA Legal Interoperability IG Guidelines, Guideline 2D
Twenty-Year Review of GBIF (https://doi.org/10.35035/ctzm-hz97)</t>
  </si>
  <si>
    <t>Funding competitions and/or opportunities hosted or supplied by the commons* intended for researchers (individuals, groups, organizations, etc.) to enable their research.</t>
  </si>
  <si>
    <t>e.g. funding opportunities to partner with the commons* to build relevant search infrastructure
e.g. Scholarship programs, to financially support graduate students and postdoctoral fellows researching the areas relevant to the commons* (e.g. scholarly Publication* and research dissemination)</t>
  </si>
  <si>
    <r>
      <rPr>
        <rFont val="Arial"/>
      </rPr>
      <t xml:space="preserve">Speaker Series (ARDC, Alliance)
Erudit 2021-2022 annual report, </t>
    </r>
    <r>
      <rPr>
        <rFont val="Arial"/>
        <color rgb="FF1155CC"/>
        <u/>
      </rPr>
      <t>https://apropos.erudit.org/2021-2022-annual-report/?lang=en</t>
    </r>
  </si>
  <si>
    <t>Engagement* with other research commons*, research infrastructure hosts, research institutions, and research funders</t>
  </si>
  <si>
    <t>i.e. universities, medical institutions, government agencies, etc.</t>
  </si>
  <si>
    <t>e.g. Mentorship, Strategic alignments.partnership
e.g. The commons* acts as a connector for community* individuals and organizations to help each other</t>
  </si>
  <si>
    <t>Big Data Maturity Matrix (https://unstats.un.org/bigdata/task-teams/training/Big%20Data%20Maturity%20Matrix%20v1.0.pdf)
Twenty-Year Review of GBIF (https://doi.org/10.35035/ctzm-hz97)</t>
  </si>
  <si>
    <t>Partnering on active research projects, programs, and institutes</t>
  </si>
  <si>
    <t>i.e. the commons partners with other organizations (committing time, funds, resournes, etc.) for discipline-specific research that may not directly address ICT or data needs.</t>
  </si>
  <si>
    <t>e.g. space science research projects, from design, mission development, implementation, and any relevant applications</t>
  </si>
  <si>
    <t>Speaker Series (NeIC, AOSP)</t>
  </si>
  <si>
    <t>Essential Element*: Human Capacity*</t>
  </si>
  <si>
    <t>Internal Capacity*</t>
  </si>
  <si>
    <t>e.g. staff, volunteers, 3rd party contractors, etc.</t>
  </si>
  <si>
    <t>Phase 1 Evaluation (October 2022 - April 2023)</t>
  </si>
  <si>
    <t>Internal appointments preferred for all available Services*, with the intention to grow expertise for intended and future Services*</t>
  </si>
  <si>
    <t>i.e. such that an internal or external workforce skills inventory can be created and maintained.</t>
  </si>
  <si>
    <t>e.g. qualitative and quantitative data science on feedback, surveys, etc
e.g. internal staff conduct their own research and/or research on behalf of the commons*, such as working on ML applications for commons* data, conducting research using commons* data
e.g. Internal staff are strategically proactive in working with Providers* to address gaps in commons* holdings</t>
  </si>
  <si>
    <t>Task Group 2 Phase 1 Evaluation (October 2022 - April 2023), Big Data Maturity Matrix (https://unstats.un.org/bigdata/task-teams/training/Big%20Data%20Maturity%20Matrix%20v1.0.pdf)
Section 6.11 Table 15 on pg 096, FAIRsharing WG: https://zenodo.org/record/4683794#.Yv5y13bMLIW and the National Data Services IG (https://docs.google.com/document/d/17iUyJ2icY0gFzMZGPWJyY5E0tUoukAtI4BFeRonefv4/edit?usp=sharing)
NIST Research Data Framework (RDaF) V1.5 (https://nvlpubs.nist.gov/nistpubs/SpecialPublications/NIST.SP.1500-18r1.pdf)
Twenty-Year Review of GBIF (https://doi.org/10.35035/ctzm-hz97)</t>
  </si>
  <si>
    <t>Capacity to manage administrative tasks</t>
  </si>
  <si>
    <t>i.e. all tasks and roles associated with internal administration and communication, tackling needs in governance* (especially management), rules of participation and access*, sustainability*, and engagement*.</t>
  </si>
  <si>
    <t>e.g. report writing, utilities, coordination, billing, order management, transportation, etc
e.g. communications specialist, administrative assistants, secretariat, trainers, education officer, human resources staff, finance officer, etc.</t>
  </si>
  <si>
    <r>
      <rPr>
        <rFont val="Arial"/>
      </rPr>
      <t xml:space="preserve">Phase 2 Review (Literature Analysis, November 2022 - June 2023), e-Infra: Resource Category  </t>
    </r>
    <r>
      <rPr>
        <rFont val="Arial"/>
        <color rgb="FF1155CC"/>
        <u/>
      </rPr>
      <t>https://wiki.eoscfuture.eu/display/PUBLIC/B.+v4.00+EOSC+Resource+Profile</t>
    </r>
  </si>
  <si>
    <t>Capacity to manage operations and Infrastructure Management Services*</t>
  </si>
  <si>
    <t>i.e. all critical Services*, Tools*, and their supporting infrastructure are supported adequately by Internal Personnel*</t>
  </si>
  <si>
    <t>e.g. helpdesk Services*, monitoring, analysis, configuration, etc.
e.g. technicians, resident researchers, developers, engineers, etc.</t>
  </si>
  <si>
    <t>e-Infra: Resource Category, https://wiki.eoscfuture.eu/display/PUBLIC/B.+v4.00+EOSC+Resource+Profile</t>
  </si>
  <si>
    <t>Commons* public record maintainer role</t>
  </si>
  <si>
    <t>i.e. contact person or organization for the record in a registry that describes the Repository* or other Services* operated by the commons*, the participation of the owner or maintainer of the repo* helps verify the information in the registry, such that there are Internal Personnel* who can represent the commons* and its subsidiaries</t>
  </si>
  <si>
    <r>
      <rPr>
        <rFont val="Arial"/>
        <color rgb="FF1155CC"/>
        <u/>
      </rPr>
      <t xml:space="preserve">FAIRsharing WG: </t>
    </r>
    <r>
      <rPr>
        <rFont val="Arial"/>
        <color rgb="FF1155CC"/>
        <u/>
      </rPr>
      <t>https://zenodo.org/record/4683794#.Yv5y13bMLIW</t>
    </r>
    <r>
      <rPr>
        <rFont val="Arial"/>
        <color rgb="FF1155CC"/>
        <u/>
      </rPr>
      <t xml:space="preserve"> , Phase 2 Evaluation (May - September 2023)</t>
    </r>
  </si>
  <si>
    <t>Labour turnover/offboarding and succession/backfill plans in place</t>
  </si>
  <si>
    <t xml:space="preserve">i.e. a decision making process or plan for when staff leave their position (offboarding and succession) or when someone moves up in the organization (e.g. promoted). </t>
  </si>
  <si>
    <t>e.g. handover document, exit interviews</t>
  </si>
  <si>
    <t>Big Data Maturity Matrix (https://unstats.un.org/bigdata/task-teams/training/Big%20Data%20Maturity%20Matrix%20v1.0.pdf)</t>
  </si>
  <si>
    <t>Mechanisms for enactment of EDII* commitment for Internal Personnel* and the commons community*</t>
  </si>
  <si>
    <t>i.e. EDII* = Equity, Diversity, Inclusivity, Indigenization</t>
  </si>
  <si>
    <t>e.g. anti-discrimination processes in the recruitment process, such as evaluating anonymized resumes in the first stage of hiring</t>
  </si>
  <si>
    <t>Random Encounters (Library ethics)</t>
  </si>
  <si>
    <t>Documented and shared processes for every internal, personnel-facing process, maintaining a high level of transparency and documentation for and between Internal Personnel*.</t>
  </si>
  <si>
    <r>
      <rPr/>
      <t xml:space="preserve">e.g. detailed DMPs or roadmaps for: Administrative Data, Data Collection*, Documentation and Metadata*, Ethics and Legal Compliance, Storage and Backup, Selection and Preservation, Data Sharing, and Responsibilities and Resources
e.g. linkage of DMPs to administrative records (e.g. agreements, transactions, etc.)
e.g. Process flow for internal document management
e.g. following </t>
    </r>
    <r>
      <rPr>
        <color rgb="FF1155CC"/>
        <u/>
      </rPr>
      <t>https://diataxis.fr/</t>
    </r>
    <r>
      <rPr/>
      <t xml:space="preserve"> framework
e.g. following The Turing Way (https://the-turing-way.netlify.app/index.html) </t>
    </r>
  </si>
  <si>
    <t>Research Metadata* schemas WG, Guidelines for publishing structured Metadata on the web, Recommendation 8
NIST Research Data Framework (RDaF) V1.5 (https://nvlpubs.nist.gov/nistpubs/SpecialPublications/NIST.SP.1500-18r1.pdf)
Speaker Series (IBICT)</t>
  </si>
  <si>
    <t>Regular review of Internal Personnel* working conditions and requirements</t>
  </si>
  <si>
    <t>i.e. who can work for, volunteer with, or represent the commons* and under what conditions, such as credentials, experience, location, etc.</t>
  </si>
  <si>
    <t>e.g. Careful considerations for internal staff to work onsite and be physically in one location or to have regional, pan-national, or global spread of staff.</t>
  </si>
  <si>
    <t>Skills for planning, managing and assessing Service* delivery</t>
  </si>
  <si>
    <t>Development of use cases for Services* and platforms</t>
  </si>
  <si>
    <t>Random Encounter (SMD Data and Computing Architecture Study Workshop Series, XSEDE/ACCESS)</t>
  </si>
  <si>
    <t>Prioritization of identified needs and derived requirements of Users*</t>
  </si>
  <si>
    <t>e.g. participation across integration, deployment, operations, researchers, Service* Providers*</t>
  </si>
  <si>
    <t>Ongoing assessment of plans and deployments</t>
  </si>
  <si>
    <t>e.g. review processes are conducted to ensure relevance to Users* and Providers*</t>
  </si>
  <si>
    <t>Implementation of continuous improvement mechanism</t>
  </si>
  <si>
    <t>Skill requirements for the commons* community*</t>
  </si>
  <si>
    <t>Requirement of any and all groups in the commons* community*, and specifically providers* and users*, which may be expected upon first contact with the commons* and/or developed via engagement* with the commons*.</t>
  </si>
  <si>
    <t>Documentation for easing skill requirement for the commons* community* and improving ease of use such that interacting with the commons* is an effective choice</t>
  </si>
  <si>
    <r>
      <rPr/>
      <t xml:space="preserve">e.g. following </t>
    </r>
    <r>
      <rPr>
        <color rgb="FF1155CC"/>
        <u/>
      </rPr>
      <t>https://diataxis.fr/</t>
    </r>
    <r>
      <rPr/>
      <t xml:space="preserve"> framework</t>
    </r>
  </si>
  <si>
    <t>Task Group 2 Phase 1 Evaluation (October 2022 - April 2023), GORC-IG Typology (https://docs.google.com/document/d/19222GItDg3tcrLsDUqg9Z7GLwPELaS-XHEbN6796Tvc/edit?usp=sharing) 
D3.1 FAIR policy landscape analysis [2019, FAIRsFAIR] (https://doi.org/10.5281/zenodo.5537032)</t>
  </si>
  <si>
    <t>Guides enabling understanding of the Rules of Participation &amp; Access</t>
  </si>
  <si>
    <t xml:space="preserve">i.e. walkthroughs, statement of needed or expected skills, etc. for commons* community* groups, specifically users* and providers* </t>
  </si>
  <si>
    <t>e.g. Describe how Research Object*, Services* &amp; Tools* Providers* choose the level of access to their Research Objects*, Services* &amp; Tools*
e.g. Easy to use ingest process with few barriers to participation (e.g. data deposit guidelines are supplied)
e.g. How to create special collection* views or digital exhibitions
e.g. Provide both single and batch ingest paths
e.g. The commons* creates, maintains, and provides Metadata* crosswalks and vocabulary crosswalks
e.g. Documentation about data quality and quality assurance measures performed by the commons* are available and transparent to Users* and stakeholders, preferably available in a machine-readable format.</t>
  </si>
  <si>
    <t>Task Group 2 Phase 1 Evaluation (October 2022 - April 2023)
RPRD-IG matrix, GORC-IG Typology (https://docs.google.com/document/d/19222GItDg3tcrLsDUqg9Z7GLwPELaS-XHEbN6796Tvc/edit?usp=sharing), Phase 2 Evaluation (May - September 2023)
Speaker Series: ARDC (mentioned during the GOSC DataIO WG update meeting in May 2022), EOSC (mentioned in GOSC DataIO webinar in July 2022)
Data Quality Assurance at Research Data Repositories (re3data quality assurance survey analysis : https://datascience.codata.org/article/10.5334/dsj-2022-018/)</t>
  </si>
  <si>
    <t>Data Policy</t>
  </si>
  <si>
    <t xml:space="preserve">i.e. providing information about or action regarding: definition of the research data*, exceptions to policy, embargos, supplementary materials, data repos, data licensing, research/author support, data availability statements, data forms and standards*, mandatory data sharing (specific data types), mandatory data sharing (all papers), peer review of data, DMPs </t>
  </si>
  <si>
    <t>D3.1 FAIR policy landscape analysis [2019, FAIRsFAIR] (https://doi.org/10.5281/zenodo.5537032)</t>
  </si>
  <si>
    <t>Ease of use for the commons* community</t>
  </si>
  <si>
    <t>Responsibility of the commons* to ensure that user interfaces and expectations are sufficiently easy to use and navigate.</t>
  </si>
  <si>
    <t>Effective user-centred designs employed and tested to enable ease of use of the commons*</t>
  </si>
  <si>
    <t>i.e. UX design, usability are priorities in user-facing Services* &amp; Tools* Note that this attribute specifies "user" as "end-user" which may encompass any and all commons* community* groups, and specifically providers* and users*.</t>
  </si>
  <si>
    <t>e.g. showcase Research Object*, Service* &amp; Tool* accessibility (available for download, behind a paywall or login)
e.g. Construct and publish a sitemap; split up large sitemaps into a sitemap index
e.g. UAT (User acceptance testing) / application testing / end-user testing</t>
  </si>
  <si>
    <r>
      <rPr>
        <rFont val="Arial"/>
      </rPr>
      <t xml:space="preserve">Phase 2 Evaluation (May - September 2023), Phase 1 Workshop (co-located with RDA P20, 24 March 2023)
Data Discovery Paradigms: https://datascience.codata.org/articles/10.5334/dsj-2019-003/, Recommendation 3
Research Metadata schema WG (output 2, </t>
    </r>
    <r>
      <rPr>
        <rFont val="Arial"/>
        <color rgb="FF1155CC"/>
        <u/>
      </rPr>
      <t>https://docs.google.com/document/d/1VTA-rFhSn6dceNZpp0Nq3mRRUoAjYMPaqQtEW-ls9Qs/edit)</t>
    </r>
  </si>
  <si>
    <t>Training and education hosted, provided, and/or contributed to by the commons* for individuals and groups in the commons* community*</t>
  </si>
  <si>
    <t>Task Group 2 phase 2</t>
  </si>
  <si>
    <t>Development of training and education programs</t>
  </si>
  <si>
    <t>Consider open community driven approaches for the development of training resources, development of instructor capability, and the instruction and pedagogy principles, processes, and practices.</t>
  </si>
  <si>
    <t>Considerations for content</t>
  </si>
  <si>
    <t xml:space="preserve"> i.e. What is being covered.  </t>
  </si>
  <si>
    <t>e.g. preparedness for new and advancing technology, the adoption of open science practises, implementation of of FAIR principles, researcher rights and responsibilities (e.g. Research Object* structure)
e.g. onboarding for commons* services* and tools*, platforms, mechanisms, etc.</t>
  </si>
  <si>
    <t>Task Group 2 Phase 1 Evaluation (October 2022 - April 2023), NIST RDaF: https://www.nist.gov/system/files/documents/2021/05/12/RDaF%20Preliminary%20Framework%20Core%2005-12-21_0.pdf, from https://www.nist.gov/programs-projects/research-data-framework-rdaf, GOSC (https://codata.org/initiatives/decadal-programme2/global-open-science-cloud/), RDA-CODATA Legal Interoperability IG Guidelines, Guideline 2D
Twenty-Year Review of GBIF (https://doi.org/10.35035/ctzm-hz97)</t>
  </si>
  <si>
    <t>Considerations for audience</t>
  </si>
  <si>
    <t xml:space="preserve">i.e. who the training is for, who will participate in the training, how experienced they are as commons participants. </t>
  </si>
  <si>
    <t>e.g. Training for trainers, focusing on more advanced concepts, new methods, and training method; graduate students; data stewards, users, providers, etc.</t>
  </si>
  <si>
    <t>Delivery of training and education programs</t>
  </si>
  <si>
    <t>Includes format considerations</t>
  </si>
  <si>
    <t>e.g. Summer schools and/or winter schools, online courses, in-person courses, single day training, one-off training, open registration courses (open to public), graduate courses, graduate program
e.g. summer school sample: D6.7 Report on schools run through franchising with local organisers [2022, FAIRsFAIR] (https://doi.org/10.5281/zenodo.6701167)
e.g. higher education example: D7.3 FAIR Competence Framework for Higher Education (Data Stewardship Professional Competence Framework [2021, FAIRsFAIR] (https://doi.org/10.5281/zenodo.5361917)</t>
  </si>
  <si>
    <t>Task Group 2 Phase 1 Evaluation (October 2022 - April 2023), e-infra: Resource Category, https://wiki.eoscfuture.eu/display/PUBLIC/B.+v4.00+EOSC+Resource+Profile
Speaker Series (IBICT)</t>
  </si>
  <si>
    <t>Evaluation and assessment of training and education programs</t>
  </si>
  <si>
    <t>More specific expertise needed than general community* feedback assessment</t>
  </si>
  <si>
    <t>Ongoing program for training Internal Personnel*</t>
  </si>
  <si>
    <t>i.e. to ensure Sustainability* and development of internal capacity*, such as keeping up to date with current technology and Tools* as well as building skills as the commons* Services* evolve, building internal human capacity with the support of institutional HR where applicable</t>
  </si>
  <si>
    <t>e.g. Product management practice and skills
e.g. new and advanced technologies
e.g. data management training</t>
  </si>
  <si>
    <t>Big Data Maturity Matrix (https://unstats.un.org/bigdata/task-teams/training/Big%20Data%20Maturity%20Matrix%20v1.0.pdf)
NIST Research Data Framework (RDaF) V1.5 (https://nvlpubs.nist.gov/nistpubs/SpecialPublications/NIST.SP.1500-18r1.pdf)</t>
  </si>
  <si>
    <t>Essential Element*: Interoperability*</t>
  </si>
  <si>
    <t>Where appropriate and possible, addressing the need for multilingualism of commons* documentation, Services*, Tools*, engagement*, etc.</t>
  </si>
  <si>
    <t>D2.1 Report on fair requirements for persistence and Interoperability [2019, FAIRsFAIR] (https://doi.org/10.5281/zenodo.5535719)</t>
  </si>
  <si>
    <t>Technical Interoperability*</t>
  </si>
  <si>
    <t xml:space="preserve">i.e. Plans, infrastructure, and mechanisms for technical Interoperability*
</t>
  </si>
  <si>
    <t>e.g. artifact exchange, including semantic and syntactic Interoperability* considerations, Definition: Creation and maintenance of mechanisms and plans the ability of different information technology systems and software applications to communicate and exchange Research Objects*, and specifically to accept Research Objects* from each other and perform a given task in an appropriate and satisfactory manner without the need for extra operator intervention. (https://data.europa.eu/doi/10.2777/620649)</t>
  </si>
  <si>
    <t xml:space="preserve">Syntactic Interoperability*
</t>
  </si>
  <si>
    <t>Plans, infrastructure, and mechanisms for syntactic Interoperability*</t>
  </si>
  <si>
    <t xml:space="preserve"> Speaker Series, originally from IVOA docs (https://www.ivoa.net/documents/index.html), Task Group 4 Phase 1 Evaluation (October 2022 - April 2023)</t>
  </si>
  <si>
    <t>Existence of plans and mechanisms to create and maintain Interoperability* and compatibility at the syntactic level over time</t>
  </si>
  <si>
    <t>e.g. updating APIs as file formats change and evolve</t>
  </si>
  <si>
    <t>Speaker Series, originally from IVOA docs (https://www.ivoa.net/documents/index.html), Task Group 4 Phase 1 Evaluation (October 2022 - April 2023)</t>
  </si>
  <si>
    <t>File/data formats that support Syntactic Interoperability*</t>
  </si>
  <si>
    <t>e.g. interoperable Research Object* formats
E.g. enumeration of file/data formats used to encode the information represented by the digital objects*
E.g. specifications on how to encode and decode the information</t>
  </si>
  <si>
    <t>APIs that support Syntactic Interoperability*</t>
  </si>
  <si>
    <t>APIs and File/data formats are both necessary for syntactic Interoperability*, and are in a M:N relationship. One API might work with multiple file formats and one file format might be capable of processing using multiple APIs. This is why we have split them</t>
  </si>
  <si>
    <t>Semantic Interoperability*</t>
  </si>
  <si>
    <t xml:space="preserve"> Plans, infrastructure, and mechanisms for semantic Interoperability* </t>
  </si>
  <si>
    <t>Phase 2 Evaluation (May - September 2023), Research Metadata schema WG - Guidelines for publishing structured Metadata on the web (Rec 3), FAIR digital object Fabric IG: https://www.rd-alliance.org/sites/default/files/recommendation-jan-2017-v8_0.pdf, Component 5</t>
  </si>
  <si>
    <t>Existence of plans and mechanisms to create and maintain Interoperability* and compatibility at the semantic level over time</t>
  </si>
  <si>
    <t>Includes creation of Semantic Objects* if necessary.
e.g. The commons* develops, provides, and iteratively revises crosswalks that map the schemas that describe Research Objects* to standard markup vocabularies
e.g. The commons provides definitions of a set of core types of Research Objects* and Services* provided by the commons*.
E.g. Creating Semantic Artefact* that can be used to infer and map relationships between concepts and the related terms within and across vocabularies used to when encoding research information as digital objects*.</t>
  </si>
  <si>
    <t>Phase 2 Evaluation (May - September 2023)
Research Metadata schema WG - Guidelines for publishing structured Metadata on the web (Rec 3)
FAIR digital object Fabric IG: https://www.rd-alliance.org/sites/default/files/recommendation-jan-2017-v8_0.pdf, Component 5</t>
  </si>
  <si>
    <t>Metadata*, data, and other Research Objects* use standardized community*-endorsed vocabularies, and FAIR-compliant community*-endorsed vocabularies where possible.</t>
  </si>
  <si>
    <t>"FAIR-compliant" here means standardized with easily findable documentation. e.g. COAR vocabularies.
"Community*" here encompasses research discipline and geographic location.</t>
  </si>
  <si>
    <t>FAIR Data Maturity Model: https://www.rd-alliance.org/system/files/FAIR%20Data%20Maturity%20Model_%20specification%20and%20guidelines_v1.00.pdf, RDA-I2-01M and 01D</t>
  </si>
  <si>
    <t xml:space="preserve">Other Technical Interoperability* plans, infrastructure, and mechanisms
</t>
  </si>
  <si>
    <t>API s follow search standards*</t>
  </si>
  <si>
    <t>i.e. ROs and other commons* assets need to be findable by data Repository* and other relevant aggregators and applications.</t>
  </si>
  <si>
    <t>e.g. using community* adopted vocabularies for Interoperability*</t>
  </si>
  <si>
    <t>Data discovery paradigms (Rec 10), FAIR4RS (I1)</t>
  </si>
  <si>
    <t>A security framework is shared between Services* and Tools*, from backend to frontend.</t>
  </si>
  <si>
    <t>Includes common encryption standards*, data exchange protocols, through User*-facing AAI interfaces such a common SSO</t>
  </si>
  <si>
    <t>Speaker Series, from the single-sign on for NII Services*.</t>
  </si>
  <si>
    <t>Organizational Interoperability*</t>
  </si>
  <si>
    <t>i.e. Mechanisms, infrastructure, and plans in place for organizational interoperability. Agreements between organizations, also called "pragmatic Interoperability*,  how organizations align their business processes, responsibilities and expectations to achieve commonly agreed and mutually beneficial goals; meeting the requirements of the shared commons* community* by making Services* available, easily identifiable, accessible, and community* member-focused (https://data.europa.eu/doi/10.2777/620649), Considerations for Interoperability* with other commons**, repos, public research institutions, private research institutions, and commercial entities, among other entities in the community*, are included.</t>
  </si>
  <si>
    <t>e.g. ARDC MOU with KISTI, KISTI agreements with OpenAire and ARDC. NII has tied collaboration with CERN, MERAL, KISTI, Wacren and OpenAIRE for Interoperability*."</t>
  </si>
  <si>
    <t>Plans and mechanisms exist to create and maintain organizational Interoperability* and compatibility over time</t>
  </si>
  <si>
    <t>For non-domain specific commons*, domain-specific needs are addressed and considered so that the commons* is interoperable with other domain-specific commons* and Services*</t>
  </si>
  <si>
    <t>i.e. including both provision of specific Services* and Tools* as well as a mechanism to allow for User* or Provider*-given domain-specific extensions</t>
  </si>
  <si>
    <t>e.g. domain specific standards* informed by community*, domain specific Services* and Tools*, offer mappings to cross-domain vocabularies and exchange formats</t>
  </si>
  <si>
    <t>CURE-FAIR WG (https://www.rd-alliance.org/group/cure-fair-wg/outcomes/challenges-curating-reproducible-and-fair-research-output), Challenge #6, Task Group 4 Phase 1 Evaluation (October 2022 - April 2023)</t>
  </si>
  <si>
    <t>Legal Interoperability*</t>
  </si>
  <si>
    <t>i.e. Mechanisms, infrastructure, and plans in place for legal Interoperability*. Definition: ability to combine Research Objects* from multiple sources without conflicts among restrictions imposed by the license of each Research Object*; Research Objects* should be reusable. Covers the broad environment of laws, policies, procedures, and cooperations agreements needed to allow the seamless exchange of information and reusability of Research Objects* between difference individuals, organizations, and across jurisdictions. (https://data.europa.eu/doi/10.2777/620649)</t>
  </si>
  <si>
    <t>RDA-CODATA Legal Interoperability IG Guidelines</t>
  </si>
  <si>
    <t>Access to and reuse of Research Objects* is open and unrestricted as a default rule, or otherwise granted with the fewest limitations possible</t>
  </si>
  <si>
    <t>i.e. such that by default, intellectual property rights are waived as far as possible and the objects distributed/made accessible in the least restrictive manner</t>
  </si>
  <si>
    <t>RDA-CODATA Legal Interoperability IG Guidelines, Task Group 4 Phase 1 Evaluation (October 2022 - April 2023), Phase 2 Evaluation (May - September 2023)</t>
  </si>
  <si>
    <t>A licence for reuse is required for all Research Objects* and Tools* in the commons*</t>
  </si>
  <si>
    <t>i.e. the commons* requires licenses to be specified for all of its holdings, likely in the Metadata* for each Research Object* at least.</t>
  </si>
  <si>
    <t>e.g. distributive and permissive licenses for software and software components
e.g., to make terms and conditions clear for Users* distributed across legal jurisdictions</t>
  </si>
  <si>
    <t>RDA-CODATA Legal Interoperability IG Guidelines, Phase 2 Evaluation (May - September 2023)
SMD Policy Document SPD-41 (https://science.nasa.gov/science-red/s3fs-public/atoms/files/Scientific%20Information%20policy%20SPD-41.pdf)</t>
  </si>
  <si>
    <t>Licenses used are enumerated and harmonised to allow seamless exchange between actors within the commons* and outside of the commons*.</t>
  </si>
  <si>
    <t>Who or what entities with rights to Research Objects* is/are specified appropriately via licenses and Research Object* documentation and identified before dissemination.</t>
  </si>
  <si>
    <t>Legal aspects are encoded in a Machine Actionable* format that enable automated provision of Services* and data</t>
  </si>
  <si>
    <t>Essential Element*: Standards &amp; Conventions*</t>
  </si>
  <si>
    <t>Sustainability* of standards*, conventions, and guidelines</t>
  </si>
  <si>
    <t>i.e. Maintenance of all commons* standards and conventions*, including updates and depreciation and to check obsolescence</t>
  </si>
  <si>
    <t>e.g. community* standards* versions are monitored and adopted upon release
e.g. new standards* and conventions are chosen when the current standard or convention becomes obsolete</t>
  </si>
  <si>
    <t>FAIRsFAIR D6.5, adapted from the idea of training material sustainability to enhance reuse</t>
  </si>
  <si>
    <t>Community* supported Research Object* standards and conventions</t>
  </si>
  <si>
    <t>Research Object* Content</t>
  </si>
  <si>
    <t>i.e. required information in the Research Object*. Does not specify research-related  information such as data, text, images, etc. Informs research quality assessments  as part of Services* and Tools* (content or formal reviews). May have different  standards* &amp; conversions for different types of staged content, such as submission  states that are raw, processed, curated, and published,</t>
  </si>
  <si>
    <t>e.g. Research Objects* include references to other Research Objects*
e.g. Collection* content considerations, such as: collections* may contain sub-collections*, but not recursively. It should be possible to restrict this rule for individual collections*; A single collection* may contain objects stored at, and sourced from, different places;  If possible, record the role of an object within a specific collection*, independent from the role it has in the context of other collections*.
e.g. DMPs: Contains ‘contact’ information, including at least an identifier for a contact person, an email address, and a name. ; Contains ‘dataset’ information such as dataset ID(s) such as PIDs* or URIs, if personal data is included in the dataset, if sensitive data is included in the dataset, and the title of the dataset ; Contains ‘created’ information, such as the date and time of the first version* that is not changed in subsequent versions*. ; Contains an identifier for the DMP itself. ; Contains an indicator on whether ethical issues exist related to the data in the DMP. ; Contains ‘language’ information ; Contains ‘modified’ information, indicating the DMP version* and the date and time of the modification ; Contains a title; Data summary (What is the purpose of the data collection/generation?, What is the relation to the objectives of the project?, What types and formats of data will the project generate/collect?, Will you re-use any existing data and how?, What is the origin of the data?, What is the expected size of the data?, To whom might the data be useful ('data utility')?); Considerations for making data findable (Are the data produced and/or used in the project discoverable with Metadata*? Are the data identifiable and locatable by means of a standard identification mechanism (e.g. persistent and unique identifiers such as digital object* Identifiers)? What naming conventions do you follow? Will search keywords be provided that optimize possibilities for re-use? What is the approach for clear versioning? What Metadata* will be created? In case Metadata* standards* do not exist in your discipline, please outline what type of Metadata* will be created and how.); Considerations for making data accessible (Which data produced and/or used in the project will be made openly available as the default? If certain datasets cannot be shared (or need to be shared under restrictions), explain why, clearly separating legal and contractual reasons from voluntary restrictions. If there are restrictions on use, how will access be provided? Is there a need for a data access committee? Are there well described conditions for access (i.e. a machine readable license)? How will the identity of the person accessing the data be ascertained? How will the data be made available (e.g. by deposition in a Repository*)? What methods or software Tools* are needed to access the data? Is documentation about the software needed to access the data included? Is it possible to include the relevant software (e.g. in open source code)? Where will the data and associated Metadata*, documentation and code be deposited? Have you explored appropriate arrangements with the identified Repository*?); Considerations for making data interoperable (Are the data produced in the project interoperable, that is allowing data exchange and re-use between researchers, institutions, organisations, countries, etc. (i.e. adhering to standards* for formats, as much as possible compliant with available (open) software applications, and in particular facilitating re-combinations with different datasets from different origins)? What data and Metadata* vocabularies, standards* or methodologies will you follow to make your data interoperable? Will you be using standard vocabularies for all data types present in your data set, to allow inter-disciplinary Interoperability*? If not, will you provide mappings to more commonly used ontologies?); Considerations for making data reusable (Are data quality assurance processes described? How will the data be licensed to permit the widest reuse possible? When will the data be made available for re-use? If applicable, specify why and how long a data embargo is needed. Are the data produced and/or used in the project usable by third parties, in particular after the end of the project? If the re-use of some data is restricted, explain why. How long is it intended that the data remains re-usable?); Considerations when describing the allocation of resources: (What are the costs for making data FAIR in your project? How will these be covered? Are the resources for long term preservation discussed (costs and potential value, who decides and how what data will be kept and for how long)? Who will be responsible for data management in your project?); Considerations for data security ( What provisions are in place for data security (including data recovery as well as secure storage and transfer of sensitive data)? Is the data safely stored in certified Repositories* for long term preservation and curation? Consider the security expectations near the end of the project and  during the project); Considerations for ethical aspects (Are there any ethical or legal issues that can have an impact on data sharing? These can also be discussed in the context of the ethics review. If relevant, include references to ethics deliverables and ethics chapter in the Description of the Action (DoA). Is informed consent for data sharing and long term preservation included in questionnaires dealing with personal data? Consider how existing and applicable privacy policy statements and terms of use affect the data).; Any declaration of “other issues”, such as making use of other national/funder/sectorial/departmental procedures for data management.)</t>
  </si>
  <si>
    <t>Phase 1 Workshop (co-located with RDA P20, 24 March 2023)
FAIR data maturity model (RDA-I3-01D - useful)
Research Data collections WG Recommendations (rec 5, 7, 12)
DMP common standard WG (DMP common standard for machine-actionable data management plans)
D1.2 Data Management Plan [2022, FAIRsFAIR] (https://doi.org/10.5281/zenodo.6656144)
RPRD-IG matrix</t>
  </si>
  <si>
    <t>Research Object* Format</t>
  </si>
  <si>
    <t>i.e. how the information in the Research Object* is structured and represented.  Can specify requirements for specific types of Research Objects*, informing  research object quality assessment in Services* and Tools* (technical reviews)</t>
  </si>
  <si>
    <t>e.g. Research Object* formats shall be machine-readable, such that Research Objects* are reasonably structured to allow automated processing
e.g. Files need to be converted into the most accessible formats: use of proprietary and legacy types are possible, but may be reviewed on a case by case basis
e.g. Research Object* format complies with a community* standard
e.g. Collection* format considerations, such as: Objects may belong to more than one collection*.
e.g. DMPs are represented in a machine-actionable way</t>
  </si>
  <si>
    <t>Phase 1 Workshop (co-located with RDA P20, 24 March 2023)
SMD Policy Document SPD-41 (https://science.nasa.gov/science-red/s3fs-public/atoms/files/Scientific%20Information%20policy%20SPD-41.pdf)
RPRD-IG matrix
FAIR data maturity model (RDA-R1.3-01D - essential), FAIR4RS (I1, R3), NIST RDaF
Research Data collections WG Recommendations (rec 6)
DMP common standard WG (DMP common standard for machine-actionable data management plans)</t>
  </si>
  <si>
    <t>Research Object* Access Method</t>
  </si>
  <si>
    <t>i.e. how the Research Object* is accessed</t>
  </si>
  <si>
    <t>e.g. Research Objects* are accessed through standardised protocols, preferably open and free
e.g. Research Objects* can be accessed manually (i.e, with human intervention)
e.g. Research Objects* can be accessed automatically (i.e. by a computer program)
e.g. Variables/column names/file elements are described in both human and Machine Actionable* formats
e.g. Collection* access method, such as collections* must offer well-defined actions (such as create, read, update, delete) that can be executed by software agents with minimal additional context required.
e.g. the DMP can be accessed by humans or machines, automatically (without human interference) and manually (with human interference)</t>
  </si>
  <si>
    <t>Phase 1 Workshop (co-located with RDA P20, 24 March 2023), FAIR Maturity Indicators List (https://fairdata.Services:7171/FAIR_Evaluator/metrics) / FAIR metrics (http://www.fairmetrics.org/)
FAIR data maturity model (RDA-A1-02D - essential), Persistent Identifiers: Consolidated Assertions (2.4), FAIR4RS (A), IADOPT-WG (Rec 1), Data Type Registry WG (Problem addressed by the working group)
FAIR data maturity model (RDA-A1-05D), Persistent Identifiers: Consolidated Assertions (2.4)
IADOPT-WG Framework (Rec 1)
Research Data collections WG Recommendations (rec 10)</t>
  </si>
  <si>
    <t>Community* supported Metadata* standards and conventions</t>
  </si>
  <si>
    <t>Metadata* content</t>
  </si>
  <si>
    <t>i.e. what information is contained in the Metadata*, 
with the aim to make the associated digital object* discoverable, 
accessible and usable/interpretable. Considerations for descriptive, structural, and administrative Metadata*</t>
  </si>
  <si>
    <t>Metadata* content may include (dependent on discipline, aim of the commons*, etc.):
e.g. Metadata* includes information about the licence under which the Research Object* can be reused, and where possible, Metadata* refers to a  standard, machine-actionable reuse licence ; 
e.g. A Metadata* description contains the PID* of the corresponding object; 
e.g. Metadata* contain qualified outward references to third party resources. This might include links to associated software, Publications*, other data sets, the author's online presence, the project's online presence, etc. instead of only listing names or titles.
e.g. Metadata* contain a descriptive title beyond the title of the Research Object* filename, i.e. specifying the type of Research Object*, where the data was collected, timeframe of the data, subject of the research, and approximate size of the Research Object*.
e.g. Metadata* contain a list of contributors, including those involved with curation, methodology, resources, and software (if the Research Object* is data that has been simulated or processed).
e.g. Metadata* contain a rich description, including the number of files, important variables, and other available documentation.
e.g. Metadata* specifies the Research Object* subtype, such as  Publication* -&gt; preprint, peer reviewed, conference proceeding, etc.
e.g. Metadata* contain affiliated organizations of the authors or organizations participating in the project
e.g. Metadata* contain the countries of the organization or project
e.g. Metadata* contain information about the funder
e.g. Metadata* contain information about the context, such as the related research community*, initiative, or infrastructure
e.g. Metadata* contain the Publisher* of the Research Object*
e.g. Metadata* contain information about the location of this instance of the Research Object*, such as specifying the repo, OA Publisher* or journal, aggregator, entity registries, journal aggregators, Current Research information system or CRIS
e.g. Metadata* contain links to related research products, such as article and dataset, dataset and software, software and article, such that the Research Object* is part of a larger research graph
e.g. Metadata* contains links or provides information for dynamic linking to related research products, such as objects by the same author, in the same context or theme focus
e.g. Metadata* contain method of data production
e.g. Metadata* contain information to enable the User* to get access to the data
e.g. Metadata* includes references to other Metadata*, preferably qualified references
e.g. Related standards* and recommendations are qualified and linked in the Metadata*, relating to both the Metadata* and the related object.
e.g. Collection* Metadata* considerations, such as: It is stated, in Metadata* or otherwise, whether or not member items have an implicit ordering; If ordered, it is stated, in Metadata* or otherwise, where new items are inserted in that order; It is stated, in Metadata* or otherwise, whether member items can assume specific roles with respect to the collection* (e.g. such as becoming a 'default' item); It is stated, in Metadata* or otherwise, whether collection* Members*hip is static or mutable; It is stated, in Metadata* or otherwise, whether collection* Metadata* is static or mutable; It is stated, in Metadata* or otherwise, whether member items are restricted to a specific data type; It is stated, in Metadata* or otherwise, whether a maximum number of a Members* items is imposed
e.g Software and applications have Metadata* enabling reusability
e.g. Metadata* fields specific to the context of the research data*, such as Generated experimental data (source of objects/subjects, characteristics of objects/subjects, conditions of research study, specifications of instruments and Tools*, parameters for instruments and Tools*, methods protocols and calibration, data/Metadata* capture methods, provenance* capture methods, reproducibility); generated computation data (input data/Metadata*, output data/metadata, hardware, parameters and conditions for computation, versioning, data/Metadata* capture methods, provenance* and capture methods, verification/validation of output data); and so on for other contexts such as qualitative data; acquired data, critically evaluated data (numerical that's undergone rigorous review), etc.
e.g. Metadata* contains information on how to appropriately cite the Research Object*</t>
  </si>
  <si>
    <t>Phase 1 Workshop (co-located with RDA P20, 24 March 2023)
GORC-WG Case Statement: https://www.rd-alliance.org/sites/default/files/GORC%20International%20Model%20WG_%20Case%20Statement%20V4%20July%202021.pdf ;
 FAIR Data Maturity Model: https://www.rd-alliance.org/system/files/FAIR%20Data%20Maturity%20Model_%20specification%20and%20guidelines_v1.00.pdf, RDA-R1.1-01M, RDA-I3-01M - important, RDA-A1-01M
FAIR digital object Fabric IG, Persistent Identifier: Consolidated Assertions - https://www.rd-alliance.org/group/fair-digital-object-fabric-ig/outcomes/persistent-identifiers-consolidated-assertions
FAIR Maturity Indicators List (https://fairdata.Services:7171/FAIR_Evaluator/metrics) / FAIR metrics (http://www.fairmetrics.org/)
10 simple rules for improving research data discovery (https://doi.org/10.1371/journal.pcbi.1009768)
OpenAire Monitor Methodology (https://monitor.openaire.eu/methodology/terminology)
Task Group 4 Phase 1 Evaluation (October 2022 - April 2023)
OpenAire Research Graph (https://graph.openaire.eu/)
Speaker Series (ARDC)
Data Discovery Paradigms (Rec 3),  CURE-FAIR WG 10 things for curating reproducible and FAIR research (Transparency), RDAS/TDWG Attribution Metadata working group: Final recommendations
FAIR4RS (F3), FAIR4RS Adoption Support (AGU: Metadata: access conditions), RDA/WDS Data publishing workflows (Data Repository entry), 
The FAIRsharing registry and related services (Citable, discoverable resources)
Data Type Registry WG Data Type Registry Requirements
Research Data collections WG Recommendations (Collection Capability 9, 10, 11, 12, 13, 14, 15)
Big Data Maturity Matrix (https://unstats.un.org/bigdata/task-teams/training/Big%20Data%20Maturity%20Matrix%20v1.0.pdf)
NIST Research Data Framework (RDaF) V1.5 (https://nvlpubs.nist.gov/nistpubs/SpecialPublications/NIST.SP.1500-18r1.pdf)</t>
  </si>
  <si>
    <t>Metadata* format</t>
  </si>
  <si>
    <t>i.e. how information is contained and represented in the Metadata*</t>
  </si>
  <si>
    <t>e.g. Metadata* terms are in a resolvable namespace (so-called Grounded Metadata*), where resolution leads to a definition of the meaning of the term such as JSON-LD, embedded schema, or any form of RDF.
e.g. Metadata* uses machine-understandable community* knowledge representations and standards*
e.g. Metadata* uses controlled vocabularies</t>
  </si>
  <si>
    <t>Phase 1 Workshop (co-located with RDA P20, 24 March 2023)
FAIR Maturity Indicators List (https://fairdata.Services:7171/FAIR_Evaluator/metrics) / FAIR metrics (http://www.fairmetrics.org/)
FAIR Data maturity model (RDA-I1-02M - important), CURE-FAIR WG 10 things for curating reproducible and FAIR research (Metadata*), FAIR4RS (F), IADOPT-WG (Rec 1)
FAIR4RS (F2), 10 simple rules for improving research data discovery</t>
  </si>
  <si>
    <t>Metadata* access method</t>
  </si>
  <si>
    <t>i.e. how the Metadata* is accessed</t>
  </si>
  <si>
    <t>e.g. Metadata* may be retrieved by an open and free protocol.
e.g. Metadata* is offered in such a way that it can be harvested and indexed
e.g. Metadata* can be accessed both by humans and by machines
e.g. Metadata* is accessed through standardized protocol</t>
  </si>
  <si>
    <t>Phase 1 Workshop (co-located with RDA P20, 24 March 2023)
FAIR Data Maturity Model: https://www.rd-alliance.org/system/files/FAIR%20Data%20Maturity%20Model_%20specification%20and%20guidelines_v1.00.pdf, RDA-F4-01M, RDA-A1-04M - essential
Task Group 4 Phase 1 Evaluation (October 2022 - April 2023), FAIR Data Maturity Model: https://www.rd-alliance.org/system/files/FAIR%20Data%20Maturity%20Model_%20specification%20and%20guidelines_v1.00.pdf, RDA-A1-02M
FAIR Maturity Indicators List (https://fairdata.Services:7171/FAIR_Evaluator/metrics) / FAIR metrics (http://www.fairmetrics.org/)
FAIR4RS Principles (A)</t>
  </si>
  <si>
    <t>Community supported Semantic Object* standards and conventions, in addition to applicable Research Object* and Metadata* standards</t>
  </si>
  <si>
    <t>i.e. standards and conventions* for Semantic Objects* used by the commons* as well as those hosted through the commons* as Research Objects*</t>
  </si>
  <si>
    <t>e.g. vocabulary and ontology standards*
E.g., establishing a consensus on what information must be explicitly represented in the digital objects* themselves and to what extent the implicitly understood information should be represented elsewhere
E.g., establishing a collection* of Semantic Objects* that must be referenced when representing research information as new digital objects
E.g., each value and structural element used to represent a digital object* is mapped to a corresponding Semantic Object* that makes its meaning explicit and unambiguous (definitions of algorithms, procedures, scales/quantities, etc.)
E.g., creating a semantic model of the commons* and its Services*, defining relationships between Services*, Semantic Objects*, Research Objects* and how they map to top-level concepts that should be understood by all participants in the commons*
E.g., creating top-level Semantic Objects* that map commons* specific concepts to ubiquitous standards* and conventions beyond the commons*</t>
  </si>
  <si>
    <t>Phase 2 Evaluation (May - September 2023), CODATA GOSC (DataIO webinar in Nov 2022, Australia), GORC-IG Typology (https://docs.google.com/document/d/19222GItDg3tcrLsDUqg9Z7GLwPELaS-XHEbN6796Tvc/edit?usp=sharing)</t>
  </si>
  <si>
    <t>Semantic Object* Content</t>
  </si>
  <si>
    <t xml:space="preserve">i.e. what information is contained in the Semantic Object*
</t>
  </si>
  <si>
    <t>e.g. The variables description should enable data reuse with minimum reliance on externally held free-text documentation</t>
  </si>
  <si>
    <t>Phase 2 Evaluation (May - September 2023)
IADOPT-WG framework (Rec 2)</t>
  </si>
  <si>
    <t>Semantic Object* Format</t>
  </si>
  <si>
    <t>i.e. the container for the Semantic Object*, how the content is represented</t>
  </si>
  <si>
    <t>Semantic Object* Access Method</t>
  </si>
  <si>
    <t xml:space="preserve">i.e. how the Semantic Object* is accessed
</t>
  </si>
  <si>
    <t>e.g. machine-readable</t>
  </si>
  <si>
    <t>The Semantic Objects* are mapped to foundational ontologies.</t>
  </si>
  <si>
    <t>D2.8 FAIR Semantics Recommendations Third Iteration [2022, FAIRsFAIR] (https://zenodo.org/record/6675295#.ZEGtUHbMLIU), P-Rec. 10</t>
  </si>
  <si>
    <t>Applications, Software, Services* &amp; Tools* standards and conventions, in addition to applicable Research Object* and Metadata* standards</t>
  </si>
  <si>
    <t>i.e. standards and conventions* for applications and software that are both Research Objects* held by the commons* as well as those that are implemented as Services* and Tools* by the commons*</t>
  </si>
  <si>
    <t>Applications and software have demonstrated, reproducible build and distributed procedures</t>
  </si>
  <si>
    <t>e.g. Test suites are included for each application and software package, i.e. the presence and quality of automated tests and the versions* of coding languages those tests are run against</t>
  </si>
  <si>
    <t>Random Encounter (Leah Wassler https://nitter.net/LeahAWasser/status/1577730887818498049)</t>
  </si>
  <si>
    <t>Relevant conventions for computational workflows</t>
  </si>
  <si>
    <t>e.g. Where computational workflows are used or referenced in Provenance* information, these should be captured in a standards*-based way (i.e. is script or work-flow based so that the workflow can be re-executed using minimal actions)</t>
  </si>
  <si>
    <t>Task Group 4 Phase 1 Evaluation (October 2022 - April 2023), CURE-FAIR WG, 10 things for curating reproducible and FAIR research</t>
  </si>
  <si>
    <t>Quality standards*, conventions, and/or guidelines</t>
  </si>
  <si>
    <t>i.e. Guidelines that provide sufficient information to allow all Users* to readily evaluate the degree of “fitness for purpose” of their Research Objects*, Services* and Tools* before and during deposit/integration, as well as to guide internal personal on conducting quality assurance reviews of all commons* holdings as well as Services* and Tools*.These should cover all quality control and assurance criteria enacted in quality control and assurance Services* provided by and through the commons*, such as completeness, accuracy, integrity, consistency, and timeliness</t>
  </si>
  <si>
    <t>e.g. Repositories* have a successfully undergone a community*-endorsed certification process (such as CoreTrustSeal)</t>
  </si>
  <si>
    <t>NIST Research Data Framework (RDaF) V1.5 (https://nvlpubs.nist.gov/nistpubs/SpecialPublications/NIST.SP.1500-18r1.pdf)
Turning FAIR into reality - Publications Office of the EU [2018, https://data.europa.eu/doi/10.2777/1524]</t>
  </si>
  <si>
    <t>Well-defined triggers for appraisal decisions</t>
  </si>
  <si>
    <t>Clarity on who has the responsibility to appraise the Research Object*(s)</t>
  </si>
  <si>
    <t>Standards and conventions* on how validation and certification of compliance towards all the other standards is done</t>
  </si>
  <si>
    <t>Turning FAIR into reality - Publications Office of the EU [2018, https://data.europa.eu/doi/10.2777/1524]</t>
  </si>
  <si>
    <t>Standards and conventions* for adding and maintaining PIDs* for managed assets</t>
  </si>
  <si>
    <t>PIDs* are associated with all Research Objects*, and where available, other objects or aspects associated with the research project</t>
  </si>
  <si>
    <t xml:space="preserve">i.e. Some identifiable objects may not be ROs, such as digital twins of physical instruments that were not created by or for the specific research project but were used in the research project (e.g. electron microscope, spectrometer)
</t>
  </si>
  <si>
    <t>e.g. identity management (for people), as well as for organizations, projects, funders, etc.
e.g. for workflows, such as the Research Object* crate and Research Activity Identifier (RAiD)</t>
  </si>
  <si>
    <t>Phase 2 Evaluation (May - September 2023), Persistent Identifiers: Consolidated Assertions (PID-26, PID-30), Research Data collections WG Recommendations (Rec 1), RDA/WDS Data publishing workflows WG recommendations (research data publishing definition)
NIST Research Data Framework (RDaF) V1.5 (https://nvlpubs.nist.gov/nistpubs/SpecialPublications/NIST.SP.1500-18r1.pdf)
D2.1 Report on fair requirements for persistence and Interoperability [2019, FAIRsFAIR] (https://doi.org/10.5281/zenodo.5535719)</t>
  </si>
  <si>
    <t>Widely used and documented PID* standards* / Services* are used for assigning PID*s and for managing complex life cycles of Research Objects*.</t>
  </si>
  <si>
    <t xml:space="preserve">i.e. such that standard expected functions are available, even for dynamic ROs* where the information content represented in the RO* is changing for some period of time or even for an indefinite duration.
</t>
  </si>
  <si>
    <t>e.g. The PID* records contains the Metadata* PID*, The PID* records contains the Metadata* PID*, Research Objects* are identified by a globally unique identifier, Metadata* identifier resolves to a Metadata* record, Research identifier resolves to a DO*, etc.
e.g. When two or more DOs* are merged, the resulting new DO* should have a new identifier and information about the merging action should be provided in the Metadata* as provenance* Metadata*
e.g. When a DO* is being split into two or more units, new identifiers should be assigned to the new entries, and some history information is made.
e.g. If a DO* has been removed or deprecated, the original PID* must still be resolvable and point to tombstone information including basic Metadata*, reasons for deletion, and if available, any succeeding versions.
e.g. Different versions* of Research Objects* are assigned distinct identifiers
e.g. Manage replicas of Research Objects* and Research Objects* merged, split, replicated or derived from other research ("master") objects
e.g. PIDs* should be human and Machine Actionable*
e.g. Multiple PIDs* can point to the same Research Objects*, but not vice versa
e.g. PIDs* are technology independent
e.g. PID* Services* interoperate with each other
e.g. PID* policy accommodates mature and established PID* practise, schemes, technologies, and Providers*
e.g. Long term maintenance and Sustainability* of PID* infrastructure
e.g. PIDs* used controlled syntax
e.g. For sensitive data, ability to set access control and/or encryption on the kernel information
e.g. Options for Providers* to have shallow FAIR (PIDs* assigned at the dataset or database level) through deep FAIR (PIDs* assigned to individual elements e.g. data points, lines) options
e.g. Extrinsic identifiers for the Metadata* and intrinsic identifiers for the artifact are included for software to assist with different layers of granularity (e.g. software granularity: project, project version, modules, sub modules, snapshots, releases, commits, directories, files, fragments)</t>
  </si>
  <si>
    <t>Persistent Identifiers: Consolidated Assertions (PID-9, PID-10, PID-31, PID-32, PID-33, PID-35 through PID-43, 2.4, PID-24))
FAIR digital object Fabric IG
FAIR Data maturity model (RDA-F1-02D), FAIR4RS Principles (F1), FAIR4RS Adoption support (ESMAValTool), RDA/TDWG Attribution Metadata working group: Final recommendations, Research data collections WG recommendations (Rec 2), RDA/WDS Data publishing workflows WG recommendations (research data publishing definition)
FAIR4RS Principles (F1.2), FAIR4RS Adoption support (ESMAValTool*), PID information types WG (Provenance tracing: Versioning: modifying Metadata)
PID information types WG (Data replication)
D2.4 2nd report on FAIR requirements for persistence and Interoperability [2020, FAIRsFAIR] (https://doi.org/10.5281/zenodo.5356517)
M2.15 Assessment report on 'FAIRness of software' [2020, FAIRsFAIR] (https://doi.org/10.5281/zenodo.5472911)</t>
  </si>
  <si>
    <t>Documented approaches are used for PID* resolution</t>
  </si>
  <si>
    <t xml:space="preserve">i.e. enabling PID* resolvers to be used
</t>
  </si>
  <si>
    <t>e.g. PIDs* are assigned to data types, resolving to human and machine accessible internal or external data type standards*. If internal, data types follow the Metadata* and data format requirements applied to Research Objects*
e.g. Close to 24/7 availability of all PID* Services*</t>
  </si>
  <si>
    <t>Phase 2 Evaluation (May - September 2023), Data type registry WG (problem addressed by the working group)</t>
  </si>
  <si>
    <t>Authentication and Authorization protocols</t>
  </si>
  <si>
    <t>Phase 1 Evaluation (October 2022 - April 2023), FAIR Maturity Indicators List (https://fairdata.Services:7171/FAIR_Evaluator/metrics) / FAIR metrics (http://www.fairmetrics.org/)</t>
  </si>
  <si>
    <t>Research Object* Authorization and Authentication, ability to implement authentication and authorization in its resolution protocol as part of the access process</t>
  </si>
  <si>
    <t>i.e. different access levels implemented, if applicable</t>
  </si>
  <si>
    <t>e.g., acceptable forms of identification
e.g., specifications for Tools* and Services* to issue, validate and revoke permissions</t>
  </si>
  <si>
    <t>FAIR Maturity Indicators List (https://fairdata.Services:7171/FAIR_Evaluator/metrics) / FAIR metrics (http://www.fairmetrics.org/)</t>
  </si>
  <si>
    <t>Metadata* Authorization and Authentication, ability to implement authentication and authorization in its resolution protocol</t>
  </si>
  <si>
    <t xml:space="preserve">i.e. if applicable
</t>
  </si>
  <si>
    <t>e.g., exchange format to encode information about what roles and permissions have been granted to a User* for a specific catalogue, Service* or Research Object*</t>
  </si>
  <si>
    <t>Standards and conventions* for the commons* catalogues of digital objects*, including Research Objects*, Services*, and Tools*</t>
  </si>
  <si>
    <t xml:space="preserve">e.g. standards* for access to information, resources, Services*, and Tools* through the commons* catalogue, such as defined Service* endpoints between any combination of humans and machines	</t>
  </si>
  <si>
    <t>Phase 2 Evaluation (May - September 2023)
Task Group 4 Phase 1 Evaluation (October 2022 - April 2023), GORC-IG Typology (https://docs.google.com/document/d/19222GItDg3tcrLsDUqg9Z7GLwPELaS-XHEbN6796Tvc/edit?usp=sharing)</t>
  </si>
  <si>
    <t>Standards and conventions* for regulatory and ethical compliance</t>
  </si>
  <si>
    <t>Standards and conventions* for equitable access to information, resources, Services*, and Tools*</t>
  </si>
  <si>
    <t>In terms of equitable accessibility for individuals and groups, relating to the inclusivity of the commons*</t>
  </si>
  <si>
    <t xml:space="preserve">Commons* Repositories*, platforms*, Services*, and Tools* shall comply with local and international standards* for accessibility for all electronic and information technology to people with disabilities.; Commons* Repositories*, platforms*, Services*, and Tools* shall comply with a principle of non-discriminatory access so that all Users*, Providers*, staff, and other stakeholders* are treated equally. Any variation in accessibility will result solely from the capability, equipment, and connectivity of the individual."
</t>
  </si>
  <si>
    <t>Phase 2 Evaluation (May - September 2023), SMD Policy Document SPD-41 (https://science.nasa.gov/science-red/s3fs-public/atoms/files/Scientific%20Information%20policy%20SPD-41.pdf)</t>
  </si>
  <si>
    <t xml:space="preserve">A response convention for detected data breaches.
</t>
  </si>
  <si>
    <t>if needed by the commons* or required by local legislation (for instance, GDPR in Europe). May be more than one convention, as appropriate.</t>
  </si>
  <si>
    <t>Supplemental Information to the NIH Policy for Data Management and Sharing: Selecting a Repository for Data Resulting from NIH-Supported Research (https://grants.nih.gov/grants/guide/notice-files/NOT-OD-21-016.html)</t>
  </si>
  <si>
    <t>Standards and conventions* supporting and describing mechanisms, infrastructure and plans for specific workflows, use cases, and types of interexchange within the commons*</t>
  </si>
  <si>
    <t>Standards* and conventions* relevant for the commons* that are not captured by other categories*.</t>
  </si>
  <si>
    <t>e.g. Conventions describing a proven workflow to connect multiple different Research Artefact* types. Such a convention may specify that this workflow is built on a Persistent Identifier* infrastructure designed for Interoperability* ("i.e. connect related Research Objects* through their PID*. This can be done through entries in the Metadata* and/or connected platforms* (e.g. KISTI connecting DataON and AcessON with links between Research Objects* that live in DataON with articles that live on AccessON)
e.g. A convention describing a process for developing, updating and promoting standards*
e.g. data storage procedure, such as keeping and maintaining multiple copies 
e.g. standards* and conventions for commons* policies (i.e. what information to include
e.g. Identify what resources and Research Objects* are to be marked up with structured Metadata*</t>
  </si>
  <si>
    <t>Phase 2 Evaluation (May - September 2023), GORC-WG Case Statement: https://www.rd-alliance.org/sites/default/files/GORC%20International%20Model%20WG_%20Case%20Statement%20V4%20July%202021.pdf, Task Group 4 Phase 1 Evaluation (October 2022 - April 2023)
Speaker Series, IVOA: https://www.ivoa.net/documents/index.html
D3.1 FAIR policy landscape analysis [2019, FAIRsFAIR] (https://doi.org/10.5281/zenodo.5537032)
(Research Metadata schema WG - Guidelines for publishing structured Metadata on the web (Rec 2), Metadata Principles (#2)</t>
  </si>
  <si>
    <t>Essential Element*: ICT Infrastructure*</t>
  </si>
  <si>
    <t>Web interfaces for commons* ICT infrastructure</t>
  </si>
  <si>
    <t>The ability to access Services*, Tools*, and Research Objects* in a secure manner. i.e. Data and vendor independent connectivity to allow freedom of choice in the selection of the DBMS now and in the future; The ability to interface to the database independent of any proprietary Web browser or Web server;  A connectivity solution that takes advantage of all the features of an organization’s DBMS; An open-architecture approach to allow interoperability with a variety of systems and technologies;  A cost-effective solution that allows for scalability,growth,and changes in strategic directions, and helps reduce the costs of developing and maintaining applications; Support for transactions that span multiple HTTP requests; Acceptable performance; Minimal administration overhead; A set of high-level productivity tools to allow applications to be developed, maintained, and deployed with relative ease and speed.</t>
  </si>
  <si>
    <t>e.g. through using appropriate APIs, scripting languages, servers, third party services, etc.</t>
  </si>
  <si>
    <t>Connolly, T., &amp; Begg, C. (2015). Database Systems: A Practical Approach to Design, Implementation, and Management. Pearson Education Limited. ISBN: 978-1-292-06118-4</t>
  </si>
  <si>
    <t>Infrastructure that is designed to scale with changing volume, complexity, and velocity of projects and expectations while ensuring baseline operations and necessary redundancy</t>
  </si>
  <si>
    <t>e.g. ability to add more memory, compute power, physical components, etc.
e.g. with existing hardware, ability to offload certain computing tasks to specialized hardware components within the system, enabling greater performance and efficiency
e.g. implementing RAID technology, i.e. Redundant array of independent Disks. Fault tolerant, meaning the system continues running if one of the hardware components fails, specifically disk drives, disk controllers, CPU, power supplies, cooling fans. RAID levels range from 0-6</t>
  </si>
  <si>
    <t>Big Data Maturity Matrix (https://unstats.un.org/bigdata/task-teams/training/Big%20Data%20Maturity%20Matrix%20v1.0.pdf)
NIST Research Data Framework (RDaF) V1.5 (https://nvlpubs.nist.gov/nistpubs/SpecialPublications/NIST.SP.1500-18r1.pdf)
Connolly, T., &amp; Begg, C. (2015). Database Systems: A Practical Approach to Design, Implementation, and Management. Pearson Education Limited. ISBN: 978-1-292-06118-4</t>
  </si>
  <si>
    <t>A review and update of ICT infrastructure* happens on a regular basis</t>
  </si>
  <si>
    <t>i.e. ICT Infrastructure* is implemented and continuously improved to ensure reception of next generation components and mechanisms as well as to meet principles identified from higher level strategies, rules, models, and guidelines implemented by the commons*</t>
  </si>
  <si>
    <t>e.g. energy consumption of the infrastructure is considered</t>
  </si>
  <si>
    <t>Phase 1 Workshop (co-located with RDA P20, 24 March 2023)
NIST Research Data Framework (RDaF) V1.5 (https://nvlpubs.nist.gov/nistpubs/SpecialPublications/NIST.SP.1500-18r1.pdf)</t>
  </si>
  <si>
    <t>Considerations for Environmental Sustainability*</t>
  </si>
  <si>
    <t>For all ICT infrastructure* purposes, including network, compute, storage, and cybersecurity/AAI</t>
  </si>
  <si>
    <t>Considerations for hardware maintenance, upgrades, and replacement</t>
  </si>
  <si>
    <t>Considerations for software maintenance, upgrades, and replacement</t>
  </si>
  <si>
    <t>e.g. Any security issues and responses to issues are listed</t>
  </si>
  <si>
    <t>Phase 2 Evaluation (May - September 2023)
Task Group 3 Phase 1 Evaluation (October 2022 - April 2023), Random Encounter (Leah Wassler https://nitter.net/LeahAWasser/status/1577730887818498049)
Report on a maturity model towards FAIR data in FAIR Repositories (D4.6) [2022, FAIRsFAIR] (https://zenodo.org/record/6699520)</t>
  </si>
  <si>
    <t>Network Infrastructure</t>
  </si>
  <si>
    <t>i.e. Ultra-fast connectivity and ubiquitous access to eInfrastructures' resources and Services*; infrastructure that enables or supports a network Service* that connects resources with stakeholders*</t>
  </si>
  <si>
    <r>
      <rPr>
        <rFont val="Arial"/>
      </rPr>
      <t xml:space="preserve">e-infra: </t>
    </r>
    <r>
      <rPr>
        <rFont val="Arial"/>
        <color rgb="FF1155CC"/>
        <u/>
      </rPr>
      <t>Resource Category, https://wiki.eoscfuture.eu/display/PUBLIC/B.+v4.00+EOSC+Resource+Profile</t>
    </r>
  </si>
  <si>
    <t>Knowledge and management of Network infrastructure</t>
  </si>
  <si>
    <t>e.g. Following IEEE generic standards*, interoperable protocols</t>
  </si>
  <si>
    <t>Phase 1 Workshop (co-located with RDA P20, 24 March 2023)
Phase 2 Evaluation (May - September 2023)</t>
  </si>
  <si>
    <t xml:space="preserve">Internal network infrastructure </t>
  </si>
  <si>
    <t xml:space="preserve"> i.e. passing messages between connected computing and storage, Interoperability* between the endpoints for commons* computing and storage </t>
  </si>
  <si>
    <t>Queue, load balancer</t>
  </si>
  <si>
    <t xml:space="preserve"> Phase 1 Workshop (co-located with RDA P20, 24 March 2023), Phase 2 Evaluation (May - September 2023)</t>
  </si>
  <si>
    <t xml:space="preserve">External network infrastructure
</t>
  </si>
  <si>
    <t>i.e. Appropriate for the context of the commons*, considering national, regional, pan-national, and discipline/domain research community* needs and incorporating interconnect and intraconnect network infrastructure.</t>
  </si>
  <si>
    <t>direct connection, virtual networks, exchange connectivity, content delivery network, traffic manager Services*, and DNS</t>
  </si>
  <si>
    <r>
      <rPr>
        <rFont val="Arial"/>
      </rPr>
      <t xml:space="preserve">Phase 1 Workshop (co-located with RDA P20, 24 March 2023), GORC-IG Typology (https://docs.google.com/document/d/19222GItDg3tcrLsDUqg9Z7GLwPELaS-XHEbN6796Tvc/edit?usp=sharing), e-infra: </t>
    </r>
    <r>
      <rPr>
        <rFont val="Arial"/>
        <color rgb="FF1155CC"/>
        <u/>
      </rPr>
      <t>Resource Category, https://wiki.eoscfuture.eu/display/PUBLIC/B.+v4.00+EOSC+Resource+Profile</t>
    </r>
  </si>
  <si>
    <t>Compute Infrastructure</t>
  </si>
  <si>
    <t>High-performance computing resources and scalable cloud compute capacity for demanding job processes</t>
  </si>
  <si>
    <r>
      <rPr>
        <rFont val="Arial"/>
      </rPr>
      <t xml:space="preserve">e-infra: </t>
    </r>
    <r>
      <rPr>
        <rFont val="Arial"/>
        <color rgb="FF1155CC"/>
        <u/>
      </rPr>
      <t>Resource Category, https://wiki.eoscfuture.eu/display/PUBLIC/B.+v4.00+EOSC+Resource+Profile</t>
    </r>
  </si>
  <si>
    <t>Knowledge and management of Compute Infrastructure</t>
  </si>
  <si>
    <t>Task Group 3 Phase 1 Evaluation (October 2022 - April 2023), GORC-IG Typology (https://docs.google.com/document/d/19222GItDg3tcrLsDUqg9Z7GLwPELaS-XHEbN6796Tvc/edit?usp=sharing), e-infra: Resource Category, https://wiki.eoscfuture.eu/display/PUBLIC/B.+v4.00+EOSC+Resource+Profile</t>
  </si>
  <si>
    <t>Federated Computing Infrastructure</t>
  </si>
  <si>
    <t>i.e. distributed computing infrastructures that are interconnected and appear as one infrastructure to the user.</t>
  </si>
  <si>
    <t>Speaker Series (NeIC)</t>
  </si>
  <si>
    <t xml:space="preserve">Base Computing Infrastructure </t>
  </si>
  <si>
    <t xml:space="preserve"> i.e. Essential components required for stable and robust minimum viable operation</t>
  </si>
  <si>
    <t xml:space="preserve"> job execution, workload management, orchestration, etc.</t>
  </si>
  <si>
    <r>
      <rPr>
        <rFont val="Arial"/>
      </rPr>
      <t xml:space="preserve">Task Group 3 Phase 1 Evaluation (October 2022 - April 2023), GORC-IG Typology (https://docs.google.com/document/d/19222GItDg3tcrLsDUqg9Z7GLwPELaS-XHEbN6796Tvc/edit?usp=sharing), e-infra: </t>
    </r>
    <r>
      <rPr>
        <rFont val="Arial"/>
        <color rgb="FF1155CC"/>
        <u/>
      </rPr>
      <t>Resource Category, https://wiki.eoscfuture.eu/display/PUBLIC/B.+v4.00+EOSC+Resource+Profile</t>
    </r>
  </si>
  <si>
    <t xml:space="preserve">Add on Computing Infrastructure 
</t>
  </si>
  <si>
    <t xml:space="preserve"> i.e. Components that enable advanced or specialzed operations </t>
  </si>
  <si>
    <t>virtual machine management, container management, serverless applications Repository* (i.e. cloud computing), quantum computing infrastructure, edge computing, exascale computing, etc.</t>
  </si>
  <si>
    <r>
      <rPr>
        <rFont val="Arial"/>
      </rPr>
      <t xml:space="preserve"> Task Group 3 Phase 1 Evaluation (October 2022 - April 2023), GORC-IG Typology (https://docs.google.com/document/d/19222GItDg3tcrLsDUqg9Z7GLwPELaS-XHEbN6796Tvc/edit?usp=sharing), e-infra: </t>
    </r>
    <r>
      <rPr>
        <rFont val="Arial"/>
        <color rgb="FF1155CC"/>
        <u/>
      </rPr>
      <t>Resource Category, https://wiki.eoscfuture.eu/display/PUBLIC/B.+v4.00+EOSC+Resource+Profile</t>
    </r>
  </si>
  <si>
    <t>Storage Infrastructure</t>
  </si>
  <si>
    <t>i.e. Reliable, secure and scalable storage for scientific data, apps and workloads.</t>
  </si>
  <si>
    <r>
      <rPr>
        <rFont val="Arial"/>
      </rPr>
      <t xml:space="preserve">e-infra: </t>
    </r>
    <r>
      <rPr>
        <rFont val="Arial"/>
        <color rgb="FF1155CC"/>
        <u/>
      </rPr>
      <t>Resource Category, https://wiki.eoscfuture.eu/display/PUBLIC/B.+v4.00+EOSC+Resource+Profile</t>
    </r>
  </si>
  <si>
    <t>Knowledge and management of Storage Infrastructure</t>
  </si>
  <si>
    <t>Federated Storage Infrastructure</t>
  </si>
  <si>
    <t>i.e. distributed storage infrastructure that are interconnected and appear to be one storage infrastructure to the user.</t>
  </si>
  <si>
    <t xml:space="preserve">Direct-attached storage, maintained and provided by the commons*, that supports different information containers as appropriate. 
</t>
  </si>
  <si>
    <t>i.e. Appropriate direct-attached Storage types (e.g. disk, tape, etc.) for appropriate information containers (e.g. object*, block*, file*)</t>
  </si>
  <si>
    <r>
      <rPr>
        <rFont val="Arial"/>
      </rPr>
      <t xml:space="preserve">Task Group 3 Phase 1 Evaluation (October 2022 - April 2023), GORC-IG Typology (https://docs.google.com/document/d/19222GItDg3tcrLsDUqg9Z7GLwPELaS-XHEbN6796Tvc/edit?usp=sharing), e-infra: </t>
    </r>
    <r>
      <rPr>
        <rFont val="Arial"/>
        <color rgb="FF1155CC"/>
        <u/>
      </rPr>
      <t>Resource Category, https://wiki.eoscfuture.eu/display/PUBLIC/B.+v4.00+EOSC+Resource+Profile</t>
    </r>
  </si>
  <si>
    <t xml:space="preserve">Network-based storage,  that supports different information containers as appropriate.
</t>
  </si>
  <si>
    <t>i.e. Cloud based storage for appropriate information containers (e.g. object*, block*, file*)</t>
  </si>
  <si>
    <r>
      <rPr>
        <rFont val="Arial"/>
      </rPr>
      <t xml:space="preserve"> Task Group 3 Phase 1 Evaluation (October 2022 - April 2023), GORC-IG Typology (https://docs.google.com/document/d/19222GItDg3tcrLsDUqg9Z7GLwPELaS-XHEbN6796Tvc/edit?usp=sharing), e-infra: </t>
    </r>
    <r>
      <rPr>
        <rFont val="Arial"/>
        <color rgb="FF1155CC"/>
        <u/>
      </rPr>
      <t>Resource Category, https://wiki.eoscfuture.eu/display/PUBLIC/B.+v4.00+EOSC+Resource+Profile</t>
    </r>
  </si>
  <si>
    <t>Foundational Operating System (OS)</t>
  </si>
  <si>
    <t>Task Group 3 Phase 1 Evaluation (October 2022 - April 2023), Phase 2 Review (Literature Analysis, November 2022 - June 2023)</t>
  </si>
  <si>
    <t xml:space="preserve">Knowledge and management of foundational operating system  </t>
  </si>
  <si>
    <t>Infrastructure deployment and computer resource provisioning can be automated</t>
  </si>
  <si>
    <t>i.e. provisioning may be done manually or automated, depending on preference, need, or context</t>
  </si>
  <si>
    <t>Task Group 3 Phase 1 Evaluation (October 2022 - April 2023), Big Data Maturity Matrix (https://unstats.un.org/bigdata/task-teams/training/Big%20Data%20Maturity%20Matrix%20v1.0.pdf)</t>
  </si>
  <si>
    <t>Infrastructure configurations are versioned controlled and are performed through code and data pipelines</t>
  </si>
  <si>
    <t>Parts of technical systems should be listed, issues with technical systems and responses to issues should be listed (e.g. bug fixes, change requests)</t>
  </si>
  <si>
    <t>Task Group 3 Phase 1 Evaluation (October 2022 - April 2023), Big Data Maturity Matrix (https://unstats.un.org/bigdata/task-teams/training/Big%20Data%20Maturity%20Matrix%20v1.0.pdf)
Report on a maturity model towards FAIR data in FAIR Repositories (D4.6) [2022, FAIRsFAIR] (https://zenodo.org/record/6699520)</t>
  </si>
  <si>
    <t>Authentication and Authorization Infrastructure (AAI)</t>
  </si>
  <si>
    <t>Federated Authentication and Authorization infrastructure</t>
  </si>
  <si>
    <t xml:space="preserve"> i.e. shared AAI infrastructure with partners (e.g. with universities, research institutes, etc.)</t>
  </si>
  <si>
    <t>Base AAI Infrastructure</t>
  </si>
  <si>
    <t>i.e. Essential components required for minimum viable operation</t>
  </si>
  <si>
    <t>User* login, encrypted password storage and data</t>
  </si>
  <si>
    <t>Add on AAI infrastructure</t>
  </si>
  <si>
    <t xml:space="preserve"> i.e. Components that enable advanced or specialzed operations</t>
  </si>
  <si>
    <t>: VPN Gateway (i.e. providing secure connectivity between multiple sites. Typically a physical router device, but can also be a server, firewall, or any device with internetworking and data transmission capabilities), Multi-factor authentication, Blockchain technology, etc.</t>
  </si>
  <si>
    <t>e-infra: Resource Category, https://wiki.eoscfuture.eu/display/PUBLIC/B.+v4.00+EOSC+Resource+Profile</t>
  </si>
  <si>
    <t>Essential Element*: Services* &amp; Tools*</t>
  </si>
  <si>
    <t>Service* and Tool* maintenance and Sustainability*</t>
  </si>
  <si>
    <t>i.e. considerations for the improvement and consistent availability of the Service* or Tool*, such that it remains meaningful and relevant for stakeholders and viable for the commons*</t>
  </si>
  <si>
    <t>2.7 Framework for assessing FAIR Services [2021, FAIRsFAIR] (https://zenodo.org/record/6656431#.ZEGmHnbMLIU)</t>
  </si>
  <si>
    <t>Services* and Tools* undergo periodic testing and maintenance</t>
  </si>
  <si>
    <t>Regular maintenance and testing is planned along a reasonable timeline, services* undergo periodic testing through monitoring</t>
  </si>
  <si>
    <t>e,g. tests including for functional-related criteria (public-endpoints, public APIs, web interface), security-related criteria (public endpoint and APIs are secured with strong ciphers for encryption), and infrastructure-related criteria.</t>
  </si>
  <si>
    <t>2.7 Framework for assessing FAIR Services [2021, FAIRsFAIR] (https://zenodo.org/record/6656431#.ZEGmHnbMLIU)
A Set of Common Service Quality Assurance Baseline Criteria for Research Projects (https://digital.csic.es/handle/10261/214441)</t>
  </si>
  <si>
    <t>FAIR assessment</t>
  </si>
  <si>
    <t>i.e. Perform a self-assessment on how the functions of the Service* enable, respect or reduce each of the FAIR principles for the data it operates on. Make the results of the self-assessment publicly available, together with an outlook on the desired state for the Service* (including a cost/benefit analysis).</t>
  </si>
  <si>
    <t>2.7 Framework for assessing FAIR Services [2021, FAIRsFAIR] (https://zenodo.org/record/6656431#.ZEGmHnbMLIU), (SAF-F-5)</t>
  </si>
  <si>
    <t>Research Object* Repositories*</t>
  </si>
  <si>
    <t xml:space="preserve">i.e. a Repository* for each kind of Research Object* supported by the commons*. </t>
  </si>
  <si>
    <r>
      <rPr>
        <rFont val="Arial"/>
      </rPr>
      <t xml:space="preserve">National Data Services IG: </t>
    </r>
    <r>
      <rPr>
        <rFont val="Arial"/>
        <color rgb="FF1155CC"/>
        <u/>
      </rPr>
      <t>https://docs.google.com/document/d/17iUyJ2icY0gFzMZGPWJyY5E0tUoukAtI4BFeRonefv4/edit?usp=sharing</t>
    </r>
    <r>
      <rPr>
        <rFont val="Arial"/>
      </rPr>
      <t xml:space="preserve">, 
e-infra: </t>
    </r>
    <r>
      <rPr>
        <rFont val="Arial"/>
        <color rgb="FF1155CC"/>
        <u/>
      </rPr>
      <t xml:space="preserve">Resource Category, https://wiki.eoscfuture.eu/display/PUBLIC/B.+v4.00+EOSC+Resource+Profile
</t>
    </r>
    <r>
      <rPr>
        <rFont val="Arial"/>
      </rPr>
      <t>Task Group 5 Phase 1 Evaluation (October 2022 - April 2023)</t>
    </r>
  </si>
  <si>
    <t>API exists for automated execution of standard Repository* tasks and to interoperate with external Services* and Tools* useful to the stakeholders*</t>
  </si>
  <si>
    <t>e.g. to ingest data or to integrate data analysis Services* and Tools*</t>
  </si>
  <si>
    <t>RPRD-IG matrix</t>
  </si>
  <si>
    <t>Deposit Services* and Tools*</t>
  </si>
  <si>
    <t>e.g. registration, Metadata* capture, assigning of PIDs*, publishing, annotation, digitization</t>
  </si>
  <si>
    <r>
      <rPr>
        <rFont val="Arial"/>
        <color rgb="FF1155CC"/>
        <u/>
      </rPr>
      <t xml:space="preserve">e-infra: Resource Category, https://wiki.eoscfuture.eu/display/PUBLIC/B.+v4.00+EOSC+Resource+Profile
</t>
    </r>
    <r>
      <rPr>
        <rFont val="Arial"/>
        <color rgb="FF000000"/>
        <u/>
      </rPr>
      <t xml:space="preserve">FAIR digital object Fabric IG, Persistent Identifier: Consolidated Assertions - </t>
    </r>
    <r>
      <rPr>
        <rFont val="Arial"/>
        <color rgb="FF1155CC"/>
        <u/>
      </rPr>
      <t>https://www.rd-alliance.org/group/fair-digital-object-fabric-ig/outcomes/persistent-identifiers-consolidated-assertions</t>
    </r>
  </si>
  <si>
    <t xml:space="preserve">A system to register types of Research Objects*, including Metadata* schemas, that may not already be present in the commons*.        </t>
  </si>
  <si>
    <t>i.e. during deposit, if a Research Object* type or appropriate Metadata* schema is not available already for the Research Object*, the Provider* may add the Research Object* type and appropriate Metadata* schema. This new type and Metadata* schema are then available for all future deposits from all Providers*. RO types should be based on community* standards* with the following referenced by PIDs*:
- how the various dimensions represented as variables in datasets of the form w1, d2, temp, etc., correspond to real world notions of weight, distance, temperature, etc.
- what are the measurement units associated with each of those dimensions, e.g., Kelvin, Celsius, or Fahrenheit in the case of temperature.
- how those dimensions are grouped or packed together in datasets.</t>
  </si>
  <si>
    <r>
      <rPr>
        <rFont val="Arial"/>
        <color rgb="FF1155CC"/>
        <u/>
      </rPr>
      <t xml:space="preserve">FAIR digital object Fabric IG: </t>
    </r>
    <r>
      <rPr>
        <rFont val="Arial"/>
        <color rgb="FF1155CC"/>
        <u/>
      </rPr>
      <t>https://www.rd-alliance.org/sites/default/files/recommendation-jan-2017-v8_0.pdf</t>
    </r>
    <r>
      <rPr>
        <rFont val="Arial"/>
        <color rgb="FF1155CC"/>
        <u/>
      </rPr>
      <t>, Component 4
Turning FAIR into reality - Publications Office of the EU [2018, https://data.europa.eu/doi/10.2777/1524] 
D2.1 Report on fair requirements for persistence and Interoperability [2019, FAIRsFAIR] (https://doi.org/10.5281/zenodo.5535719)</t>
    </r>
  </si>
  <si>
    <t>Research Object* validation Tool*</t>
  </si>
  <si>
    <t>e.g. for data, for Research Software*, etc.
e.g. should allow Users* to capture and store the evaluation as provenance* data.</t>
  </si>
  <si>
    <t>Speaker Series (ARDC), FAIR4RS
NIST Research Data Framework (RDaF) V1.5 (https://nvlpubs.nist.gov/nistpubs/SpecialPublications/NIST.SP.1500-18r1.pdf)
Twenty-Year Review of GBIF (https://doi.org/10.35035/ctzm-hz97)</t>
  </si>
  <si>
    <t>Research Object* FAIR self-assessment Tool*</t>
  </si>
  <si>
    <t>e.g. for data, for Research Software*, etc.
e.g. may include a scale of FAIRness or a scale for each aspect.
e.g. should allow Users* to capture and store the evaluation as provenance* data.</t>
  </si>
  <si>
    <t>FAIR4RS</t>
  </si>
  <si>
    <t>Integrity and quality control mechanisms for Metadata*, including immutability</t>
  </si>
  <si>
    <r>
      <rPr>
        <rFont val="Arial"/>
        <color rgb="FF1155CC"/>
        <u/>
      </rPr>
      <t xml:space="preserve">RDA/WDS Data publishing Workflows WG Recommendations
Data Quality Assurance at Research Data Repositories (re3data quality assurance survey analysis : </t>
    </r>
    <r>
      <rPr>
        <rFont val="Arial"/>
        <color rgb="FF1155CC"/>
        <u/>
      </rPr>
      <t>https://datascience.codata.org/article/10.5334/dsj-2022-018/)</t>
    </r>
  </si>
  <si>
    <t>Technical</t>
  </si>
  <si>
    <t>e.g. format and vocabulary quality and control mechanisms for Metadata*, compliant with an appropriate Metadata* schema, Metadata* application is consistent with other Metadata* records in the collection*)</t>
  </si>
  <si>
    <r>
      <rPr>
        <rFont val="Arial"/>
        <color rgb="FF1155CC"/>
        <u/>
      </rPr>
      <t xml:space="preserve">RDA/WDS Data publishing Workflows WG Recommendations
Data Quality Assurance at Research Data Repositories (re3data quality assurance survey analysis : </t>
    </r>
    <r>
      <rPr>
        <rFont val="Arial"/>
        <color rgb="FF1155CC"/>
        <u/>
      </rPr>
      <t>https://datascience.codata.org/article/10.5334/dsj-2022-018/)</t>
    </r>
  </si>
  <si>
    <t>Completeness</t>
  </si>
  <si>
    <t>i.e. all necessary Metadata* fields are sufficiently filled</t>
  </si>
  <si>
    <t>e.g. copyrights and usage rights are clarified, information on data provenance*)</t>
  </si>
  <si>
    <r>
      <rPr>
        <rFont val="Arial"/>
        <color rgb="FF1155CC"/>
        <u/>
      </rPr>
      <t xml:space="preserve">RDA/WDS Data publishing Workflows WG Recommendations
Data Quality Assurance at Research Data Repositories (re3data quality assurance survey analysis : </t>
    </r>
    <r>
      <rPr>
        <rFont val="Arial"/>
        <color rgb="FF1155CC"/>
        <u/>
      </rPr>
      <t>https://datascience.codata.org/article/10.5334/dsj-2022-018/)</t>
    </r>
  </si>
  <si>
    <t>Content Quality</t>
  </si>
  <si>
    <t>e.g. checking function of outgoing links, appropriateness</t>
  </si>
  <si>
    <r>
      <rPr>
        <rFont val="Arial"/>
        <color rgb="FF1155CC"/>
        <u/>
      </rPr>
      <t xml:space="preserve">RDA/WDS Data publishing Workflows WG Recommendations
Data Quality Assurance at Research Data Repositories (re3data quality assurance survey analysis : </t>
    </r>
    <r>
      <rPr>
        <rFont val="Arial"/>
        <color rgb="FF1155CC"/>
        <u/>
      </rPr>
      <t>https://datascience.codata.org/article/10.5334/dsj-2022-018/)</t>
    </r>
  </si>
  <si>
    <t>FAIR compliance</t>
  </si>
  <si>
    <t>FAIR compliance to the maximum degree possible</t>
  </si>
  <si>
    <r>
      <rPr>
        <rFont val="Arial"/>
        <color rgb="FF1155CC"/>
        <u/>
      </rPr>
      <t xml:space="preserve">RDA/WDS Data publishing Workflows WG Recommendations
Data Quality Assurance at Research Data Repositories (re3data quality assurance survey analysis : </t>
    </r>
    <r>
      <rPr>
        <rFont val="Arial"/>
        <color rgb="FF1155CC"/>
        <u/>
      </rPr>
      <t>https://datascience.codata.org/article/10.5334/dsj-2022-018/)</t>
    </r>
  </si>
  <si>
    <t>Integrity and quality control mechanisms for Research Objects*</t>
  </si>
  <si>
    <t>re3data Data Quality Assurance Survey</t>
  </si>
  <si>
    <t>QA/QC are implemented with several methods or mechanisms, including assessment of Publications*, research data*, and Research Software*</t>
  </si>
  <si>
    <t>e.g. a combination of curators, peer review, User* feedback or machine, etc</t>
  </si>
  <si>
    <t>Research Platforms for Research Data IG: https://www.rd-alliance.org/group/repository-platforms-research-data-ig/outcomes/matrix-use-cases-and-functional-requirements, Task Group 5 Phase 1 Review (Literature Analysis, August - October 2022)</t>
  </si>
  <si>
    <t>Formal criteria are applied to ensure technical quality of Research Objects*, conducted internally by the commons*.</t>
  </si>
  <si>
    <t xml:space="preserve">Can be automatic. </t>
  </si>
  <si>
    <t>e.g. file format such as open data format, licence such as open data licence physical integrity, # of datasets is correct, size of datasets is &gt;0, datasets and Metadata* are accessible, data sizes are controlled and correct, Metadata* is consistent to the data, data and descriptions are consistent), administrative (e.g. openness, described in open documentation, consent forms from study subjects are available, conflicts of interest are declared, the title, PID*, version, data producer, Publication* or update date, Publisher*, date accessed, and usage licence are included, data with commercial value have a filed patent), and access-related quality of the Research Object* (e.g. availability), testing and validation Tools* for software, including reproducibility and uncertainty quantification and system resilience and adaptability</t>
  </si>
  <si>
    <t>re3data Data Quality Assurance Survey (Q05), e-infra: Resource Category, https://wiki.eoscfuture.eu/display/PUBLIC/B.+v4.00+EOSC+Resource+Profile (Validation), Task Group 5 Phase 1 Review (Literature Analysis, August - October 2022)
NIST Research Data Framework (RDaF) V1.5 (https://nvlpubs.nist.gov/nistpubs/SpecialPublications/NIST.SP.1500-18r1.pdf)</t>
  </si>
  <si>
    <t>A review is conducted to ensure content quality of the Research Object*</t>
  </si>
  <si>
    <t>May be conducted externally by expert reviewers</t>
  </si>
  <si>
    <t>e.g. data accuracy, appropriate and correct use of methods, completeness, compliance with legal and ethical norms, consistency, plausibility/correctness, novelty, reproducibility, significance, data logic and organization, suitability, temporal and spatial coverage where appropriate, reuse potential, pass statistical tests, documentation quality and appropriateness, software executability, structure, interpretability, objectivity, traceability, understandability, error documentation, precision, trustworthiness (origin, methods of collecting and processing, authenticity, acceptability, applicability, understandability, subject, discipline, reputation of creators, biases of the evaluators, Users*’ confidence, lack of deception, independent review, reuse), ease of use, 
e.g. for software specifically, Continuous integration and continuous delivery pipelines (CI/CD), encompassing both verification and validation processes for functional (behaviour-driven) and non-functional (usability-oriented) requirements as well as automation.</t>
  </si>
  <si>
    <t>re3data Data Quality Assurance Survey (Q10)</t>
  </si>
  <si>
    <t>Relevance of the Research Object* to the commons* is determined</t>
  </si>
  <si>
    <t>i.e. does it follow the theme of the commons*</t>
  </si>
  <si>
    <t>Task Group  Phase 1 Evaluation (October 2022 - April 2023)</t>
  </si>
  <si>
    <t>Research Objects* are FAIR compliant to the maximum degree possible</t>
  </si>
  <si>
    <t>i.e. the FAIRness of the object is assessed. May be automated) (e.g. Quality control for PIDs* to check if they are at an appropriate FAIRness depth and do not duplicate existing PIDs*</t>
  </si>
  <si>
    <r>
      <rPr>
        <rFont val="Arial"/>
      </rPr>
      <t xml:space="preserve">Data Quality Assurance at Research Data Repositories (re3data quality assurance survey analysis : </t>
    </r>
    <r>
      <rPr>
        <rFont val="Arial"/>
        <color rgb="FF1155CC"/>
        <u/>
      </rPr>
      <t>https://datascience.codata.org/article/10.5334/dsj-2022-018/)</t>
    </r>
    <r>
      <rPr>
        <rFont val="Arial"/>
      </rPr>
      <t>, D2.4 2nd report on FAIR requirements for persistence and Interoperability [2020, FAIRsFAIR] (https://doi.org/10.5281/zenodo.5356517)</t>
    </r>
  </si>
  <si>
    <t>Storage Services* and Tools*</t>
  </si>
  <si>
    <t>i.e. management of storage infrastructure to meet needs of Users*, ideally with capacity for temporary, campaign/project, community*, and long-term storage, or hot, warm, and cold storage options</t>
  </si>
  <si>
    <t>E.G. backups, synchronization between copies, replication, recovery ability, long-term digital preservation / cold storage, archive storage
e.g. Policy-based storage Services*, including access control and higher security measures where necessary
e.g. Direct management and curation: Flexible methods to track usage and to specify and enforce limits (e.g. User* quotas, tree quotes, etc.); Methods to quickly walk the storage resource namespace (distribution of file or object sizes, access frequencies, etc.); Ability to manage hardware that has different characteristics (e..g bandwidth, capacity)</t>
  </si>
  <si>
    <r>
      <rPr>
        <rFont val="Arial"/>
      </rPr>
      <t xml:space="preserve">Task Group 3 Phase 1 Evaluation (October 2022 - April 2023), GORC-IG Typology (https://docs.google.com/document/d/19222GItDg3tcrLsDUqg9Z7GLwPELaS-XHEbN6796Tvc/edit?usp=sharing), e-infra: </t>
    </r>
    <r>
      <rPr>
        <rFont val="Arial"/>
        <color rgb="FF1155CC"/>
        <u/>
      </rPr>
      <t xml:space="preserve">Resource Category, https://wiki.eoscfuture.eu/display/PUBLIC/B.+v4.00+EOSC+Resource+Profile
</t>
    </r>
    <r>
      <rPr>
        <rFont val="Arial"/>
      </rPr>
      <t>Storage 2020: A Vision for the Future of HPC Storage [2017] (https://escholarship.org/uc/item/744479dp)</t>
    </r>
  </si>
  <si>
    <t>Digital badges for Research Objects*, with features for online sharing, verification, portability, and trustworthiness with associated Metadata*</t>
  </si>
  <si>
    <t>e.g. expose Research Object* usage statistics so that they are publicly viewable on the Research Object* landing page, spanning access and downloads (E.G. Metadata* viewed, object viewed, object downloaded, object cited, map view of geographic distribution, cumulative views, citations, number and distribution of linked objects, etc.)
e.g. Make the quality of individual datasets visible so that they are publicly viewable on the Research Object* landing page
e.g. to allow filtering of raw data by quality check issue and provide statistics and metrics* on the selected records to find gross anomalies and guide selection</t>
  </si>
  <si>
    <t>SQAaaS (https://sqaaas.eosc-synergy.eu/#/)
Data Discovery Paradigms: https://datascience.codata.org/articles/10.5334/dsj-2019-003/, Recommendation 6 ; e-infra: Resource Category, https://wiki.eoscfuture.eu/display/PUBLIC/B.+v4.00+EOSC+Resource+Profile (Publication, analysis)
Data Quality Assurance at Research Data Repositories (re3data quality assurance survey analysis : https://datascience.codata.org/article/10.5334/dsj-2022-018/)
Twenty-Year Review of GBIF (https://doi.org/10.35035/ctzm-hz97)</t>
  </si>
  <si>
    <t xml:space="preserve">Research data* Repository*
</t>
  </si>
  <si>
    <t>Vast range of datasets and other research data* objects to facilitate research and scientific activities that have been provided by the commons* community*. Different kinds of data Repositories* may need different types of management.</t>
  </si>
  <si>
    <t xml:space="preserve"> Metadata*, government and agency data, statistical data, scientific and research data*, online Service* data, clinical trial data, epidemiological data, etc</t>
  </si>
  <si>
    <r>
      <rPr>
        <rFont val="Arial"/>
        <color rgb="FF1155CC"/>
        <u/>
      </rPr>
      <t xml:space="preserve">National Data Services IG: https://docs.google.com/document/d/17iUyJ2icY0gFzMZGPWJyY5E0tUoukAtI4BFeRonefv4/edit?usp=sharing, e-infra: </t>
    </r>
    <r>
      <rPr>
        <rFont val="Arial"/>
        <color rgb="FF1155CC"/>
        <u/>
      </rPr>
      <t>Resource Category, https://wiki.eoscfuture.eu/display/PUBLIC/B.+v4.00+EOSC+Resource+Profile</t>
    </r>
  </si>
  <si>
    <t xml:space="preserve">Publication* and research documentation Repository*
</t>
  </si>
  <si>
    <t xml:space="preserve"> i.e. Research findings available to the wider academic community* and beyond.) that have been provided by the commons* community*</t>
  </si>
  <si>
    <t>workflow Repository*, peer-reviewed article Repository*, reports and notes Repository*</t>
  </si>
  <si>
    <r>
      <rPr>
        <rFont val="Arial"/>
        <color rgb="FF1155CC"/>
        <u/>
      </rPr>
      <t xml:space="preserve"> e-infra: </t>
    </r>
    <r>
      <rPr>
        <rFont val="Arial"/>
        <color rgb="FF1155CC"/>
        <u/>
      </rPr>
      <t>Resource Category, https://wiki.eoscfuture.eu/display/PUBLIC/B.+v4.00+EOSC+Resource+Profile</t>
    </r>
  </si>
  <si>
    <t>Research Software* Repository*</t>
  </si>
  <si>
    <t xml:space="preserve"> i.e.  Research Software* that has been provided by the commons* community* ; a catelogue of software items, including platforms*, packages, notebooks and libraries , included documentation and links for dependencies required to deploy but not all dependent libraries will be required to be part of the software Repository*. The software repo* can either have Metadata* for items held within the repo* or can point to dos in external platforms* (e.g. github))</t>
  </si>
  <si>
    <r>
      <rPr>
        <rFont val="Arial"/>
        <color rgb="FF1155CC"/>
        <u/>
      </rPr>
      <t xml:space="preserve"> e-infra: </t>
    </r>
    <r>
      <rPr>
        <rFont val="Arial"/>
        <color rgb="FF1155CC"/>
        <u/>
      </rPr>
      <t>Resource Category, https://wiki.eoscfuture.eu/display/PUBLIC/B.+v4.00+EOSC+Resource+Profile</t>
    </r>
  </si>
  <si>
    <t>Semantic Object* Repository*</t>
  </si>
  <si>
    <t>i.e. catalogue of vocabulary and ontology schemas, where Users* and Providers* can search, find, and use these schemas as well as add, register, and maintain concept vocabularies not already present</t>
  </si>
  <si>
    <t>Task Group 5 Phase 1 Evaluation (October 2022 - April 2023)</t>
  </si>
  <si>
    <t>Discovery Services*</t>
  </si>
  <si>
    <t>i.e. a platform* or portal to discover Research Objects*, passive interaction</t>
  </si>
  <si>
    <t>E.G. sharing and discovery Services* including enabling sharing and downloading of bibliographic references where applicable, providing a range of query interfaces and access points such as simple search box, advanced search, subject search, and faceted browser/filtering</t>
  </si>
  <si>
    <t>Harvesting, or aggregating, Metadata* from external Repositories* and commons*, including Members* and Providers*</t>
  </si>
  <si>
    <t>e.g. from institutional Repositories*, from commons* with whom a MOU is shared</t>
  </si>
  <si>
    <r>
      <rPr>
        <rFont val="Arial"/>
        <color rgb="FF1155CC"/>
        <u/>
      </rPr>
      <t xml:space="preserve">Task Group 5 Phase 1 Evaluation (October 2022 - April 2023)
e-infra: </t>
    </r>
    <r>
      <rPr>
        <rFont val="Arial"/>
        <color rgb="FF1155CC"/>
        <u/>
      </rPr>
      <t>Resource Category, https://wiki.eoscfuture.eu/display/PUBLIC/B.+v4.00+EOSC+Resource+Profile</t>
    </r>
  </si>
  <si>
    <t>Provide a harvestable Metadata* Service* so that others can harvest Metadata* hosted by the commons* that describe Research Objects*, Services*, and Tools*.</t>
  </si>
  <si>
    <t>Services* and Tools* for direct research tasks</t>
  </si>
  <si>
    <t>e.g. Aggregation Tools*, surveying Tools*, statistical Tools*, calculation and analysis Tools*, APIs, Database management Tools*, testing and validation Tools*</t>
  </si>
  <si>
    <r>
      <rPr>
        <rFont val="Arial"/>
        <color rgb="FF1155CC"/>
        <u/>
      </rPr>
      <t xml:space="preserve">e-infra: Resource Category, https://wiki.eoscfuture.eu/display/PUBLIC/B.+v4.00+EOSC+Resource+Profile
</t>
    </r>
    <r>
      <rPr>
        <rFont val="Arial"/>
        <color rgb="FF000000"/>
        <u/>
      </rPr>
      <t>NIST Research Data Framework (RDaF) V1.5 (https://nvlpubs.nist.gov/nistpubs/SpecialPublications*/NIST.SP.1500-18r1.pdf</t>
    </r>
  </si>
  <si>
    <t>Consultation Services* offered to the commons* community* to improve or facilitate research.</t>
  </si>
  <si>
    <t>i.e.  May be automated, in a "ticket" or "chat" format with personnel, or through meetings with personnel. May be offered on an individual and/or group basis.</t>
  </si>
  <si>
    <t xml:space="preserve">e.g. Audit and Assessment, Application porting, application scaling, Application optimization, Software development, Software improvement, Modeling and simulation, Prototype development, Testing, Certification, Calibration, Benchmarking, Technology Transfer, Methodology Development
e.g. The commons* works with Providers* if consistent data quality issues are found over time such that direct, individualized support for Research Object* Providers* is available	</t>
  </si>
  <si>
    <r>
      <rPr>
        <rFont val="Arial"/>
      </rPr>
      <t xml:space="preserve">e-infra: </t>
    </r>
    <r>
      <rPr>
        <rFont val="Arial"/>
        <color rgb="FF1155CC"/>
        <u/>
      </rPr>
      <t xml:space="preserve">Resource Category, https://wiki.eoscfuture.eu/display/PUBLIC/B.+v4.00+EOSC+Resource+Profile
</t>
    </r>
    <r>
      <rPr>
        <rFont val="Arial"/>
      </rPr>
      <t xml:space="preserve">Twenty-Year Review of GBIF (https://doi.org/10.35035/ctzm-hz97)
Data Quality Assurance at Research Data Repositories (re3data quality assurance survey analysis : </t>
    </r>
    <r>
      <rPr>
        <rFont val="Arial"/>
        <color rgb="FF1155CC"/>
        <u/>
      </rPr>
      <t>https://datascience.codata.org/article/10.5334/dsj-2022-018/)</t>
    </r>
  </si>
  <si>
    <t>Platform* as a Service* (PaaS)</t>
  </si>
  <si>
    <t>i.e. space(s) to deploy, develop and use software packages and libraries, where ideally both graphical and code interfaces to platforms* are available</t>
  </si>
  <si>
    <t xml:space="preserve"> -</t>
  </si>
  <si>
    <t>Developer Tools*</t>
  </si>
  <si>
    <t>i.e. to develop your own research Service* or Tool*, e.g. simulation Tools*</t>
  </si>
  <si>
    <t>Software Development Kits</t>
  </si>
  <si>
    <t>Software Libraries</t>
  </si>
  <si>
    <t>i.e. focused on developing more complete or complex software that Services* a direct research purpose</t>
  </si>
  <si>
    <t>APIs Repository*/ Gateway</t>
  </si>
  <si>
    <t>Training platform* and Tools*</t>
  </si>
  <si>
    <t>i.e. a portal, interface, etc. where individuals in the commons* community* can access training materials, modules, courses, etc. and complete asynchronously or synchronously</t>
  </si>
  <si>
    <t>Data acquisition Services* and Tools*</t>
  </si>
  <si>
    <t>i.e. for the collection and ingest of data</t>
  </si>
  <si>
    <t>Analysis, processing, and visualization Services* and Tools*</t>
  </si>
  <si>
    <t xml:space="preserve"> i.e. Processes for Research Objects* with the goal of discovering useful information, informing conclusions, and supporting decision-making. </t>
  </si>
  <si>
    <t xml:space="preserve">artificial intelligence and machine learning Services* and Tool*ls, forecasting, visualization, data extrapolation, image analysis, iterative model fitting. data analysis (e.g. transformation, calibration, normalization, plausibility checks), data cleaning, etc., Different forms and formats of Analysis (i.e. manual, exploratory, descriptive, diagnostic, evaluative, predictive, prescriptive, correlational, statistical, automated or autonomous) e.g. workflows (i.e. Services* enabling the building and implementation of workflows),  A collaborative platform* with AAI for groups") </t>
  </si>
  <si>
    <t>GORC-IG Typology (https://docs.google.com/document/d/19222GItDg3tcrLsDUqg9Z7GLwPELaS-XHEbN6796Tvc/edit?usp=sharing), NIST Research Data Framework (RDaF) V1.5 (https://nvlpubs.nist.gov/nistpubs/SpecialPublications/NIST.SP.1500-18r1.pdf), e-infra: Resource Category, https://wiki.eoscfuture.eu/display/PUBLIC/B.+v4.00+EOSC+Resource+Profile, Data Discovery Paradigms: https://datascience.codata.org/articles/10.5334/dsj-2019-003/, Recommendation 7 and FAIRsharing WG recommendation: https://zenodo.org/record/4683794#.Yv5y13bMLIW, Task Group 5 Phase 1 Evaluation (October 2022 - April 2023)</t>
  </si>
  <si>
    <t xml:space="preserve">Data collection and Research Object* Management Services* and Tools* </t>
  </si>
  <si>
    <t xml:space="preserve"> i.e. active data management' Tools*, active Research Object* management Tools*, such as an RDM platform</t>
  </si>
  <si>
    <t xml:space="preserve"> Access, transfer, interlinking, anonymisation, preservation, brokering; creation, maintenance and curation of objects and their versions, Identify and aggregate Metadata* records that describe the same Research Object*, record audit trails, transfer ownership, setting and automation of policies on Research Objects*, updates are permitted by the Provider* (e.g. software updates, automatic or asynchronous updates), collections management, automatically generated Metadata*, LIMS, ELNS, Tools* dealing with specialist types of data such as colony management systems for animal data
 e.g. DMP platform*, DMP Repository*, DMP development Services* and Tools*, Software Management Plan capacity such as Tool* or platform*</t>
  </si>
  <si>
    <t>GORC-IG Typology (https://docs.google.com/document/d/19222GItDg3tcrLsDUqg9Z7GLwPELaS-XHEbN6796Tvc/edit?usp=sharing), NIST Research Data Framework (RDaF) V1.5 (https://nvlpubs.nist.gov/nistpubs/SpecialPublications/NIST.SP.1500-18r1.pdf)" e-infra: Resource Category, https://wiki.eoscfuture.eu/display/PUBLIC/B.+v4.00+EOSC+Resource+Profile, Task Group 5 Phase 1 Evaluation (October 2022 - April 2023), FAIR Data Maturity Model: https://www.rd-alliance.org/system/files/FAIR%20Data%20Maturity%20Model_%20specification%20and%20guidelines_v1.00.pdf, RDA-A2-01M, Data Discovery Paradigms (Rec 8), RPRD-IG matrix, Research Data collections WG Recommendations - Service feature 3, Big Data Maturity Matrix (https://unstats.un.org/bigdata/task-teams/training/Big%20Data%20Maturity%20Matrix%20v1.0.pdf), Random Encounter (Leah Wassler https://nitter.net/LeahAWasser/status/1577730887818498049), Research Data collections WG Recommendations
National Data Services IG: https://docs.google.com/document/d/17iUyJ2icY0gFzMZGPWJyY5E0tUoukAtI4BFeRonefv4/edit?usp=sharing, Speaker Series: presentations and analysis ((NII, ARDC, EOSC, KISTI, MOSP) )</t>
  </si>
  <si>
    <t>Services* and Tools* that enable workflows and middleware</t>
  </si>
  <si>
    <t>e.g. Communication (such as a reporting Service*, to assist Users*, Providers*, and other stakeholders* in creating necessary reports that use or include the commons* (e.g. impact of commons* on dissemination of the Provider*'s data), collaboration, productivity, business, education, social/networking, utilities
e.g. automated Metadata* capture, anomaly detection and correction Tools*, collaboration Tools*, process monitoring and evaluation tracking Tools*, containerization Tools*, workflow component reuse Tool*, microServices*, Tools* enabling distributed workflows, comprehensive report generation Tool*</t>
  </si>
  <si>
    <t>e-infra: Resource Category, https://wiki.eoscfuture.eu/display/PUBLIC/B.+v4.00+EOSC+Resource+Profile
NIST Research Data Framework (RDaF) V1.5 (https://nvlpubs.nist.gov/nistpubs/SpecialPublications/NIST.SP.1500-18r1.pdf)</t>
  </si>
  <si>
    <t>Persistent Identifier* Services*</t>
  </si>
  <si>
    <t>i.e. assigning of PIDs*, mediating external PID* Services* such as DOI, ORCID, RAiD, etc.</t>
  </si>
  <si>
    <r>
      <rPr>
        <rFont val="Arial"/>
      </rPr>
      <t xml:space="preserve">e-infra: Resource Category, https://wiki.eoscfuture.eu/display/PUBLIC/B.+v4.00+EOSC+Resource+Profile
FAIR digital object Fabric IG, Persistent Identifier: Consolidated Assertions - </t>
    </r>
    <r>
      <rPr>
        <rFont val="Arial"/>
        <color rgb="FF1155CC"/>
        <u/>
      </rPr>
      <t xml:space="preserve">https://www.rd-alliance.org/group/fair-digital-object-fabric-ig/outcomes/persistent-identifiers-consolidated-assertions
</t>
    </r>
    <r>
      <rPr>
        <rFont val="Arial"/>
      </rPr>
      <t xml:space="preserve">Turning FAIR into reality - Publications Office of the EU [2018, https://data.europa.eu/doi/10.2777/1524] </t>
    </r>
  </si>
  <si>
    <t>Use of a global PID* Service* that ensures continuous resolvability of PIDs*</t>
  </si>
  <si>
    <t xml:space="preserve">FAIR digital object Fabric IG, Persistent Identifier: Consolidated Assertions - https://www.rd-alliance.org/group/fair-digital-object-fabric-ig/outcomes/persistent-identifiers-consolidated-assertions
Turning FAIR into reality - Publications Office of the EU [2018, https://data.europa.eu/doi/10.2777/1524] </t>
  </si>
  <si>
    <t>Persistence of the identifier</t>
  </si>
  <si>
    <t>i.e. uniqueness</t>
  </si>
  <si>
    <r>
      <rPr>
        <rFont val="Arial"/>
        <color rgb="FF1155CC"/>
        <u/>
      </rPr>
      <t xml:space="preserve">https://andrew.treloar.net/research/diagrams/five_persistences.html
</t>
    </r>
    <r>
      <rPr>
        <rFont val="Arial"/>
        <color rgb="FF1155CC"/>
        <u/>
      </rPr>
      <t xml:space="preserve">FAIR digital object Fabric IG, Persistent Identifier: Consolidated Assertions - https://www.rd-alliance.org/group/fair-digital-object-fabric-ig/outcomes/persistent-identifiers-consolidated-assertions
Turning FAIR into reality - Publications Office of the EU [2018, https://data.europa.eu/doi/10.2777/1524] </t>
    </r>
  </si>
  <si>
    <t>Persistence of the binding between identifier and object</t>
  </si>
  <si>
    <t>https://andrew.treloar.net/research/diagrams/five_persistences.html</t>
  </si>
  <si>
    <t>Persistence of the Services* to resolve from the identifier to the object</t>
  </si>
  <si>
    <t>i.e. resolvability</t>
  </si>
  <si>
    <r>
      <rPr>
        <rFont val="Arial"/>
        <color rgb="FF1155CC"/>
        <u/>
      </rPr>
      <t xml:space="preserve">https://andrew.treloar.net/research/diagrams/five_persistences.html
</t>
    </r>
    <r>
      <rPr>
        <rFont val="Arial"/>
        <color rgb="FF000000"/>
        <u/>
      </rPr>
      <t xml:space="preserve">FAIR digital object Fabric IG, Persistent Identifier: Consolidated Assertions - https://www.rd-alliance.org/group/fair-digital-object-fabric-ig/outcomes/persistent-identifiers-consolidated-assertions
Turning FAIR into reality - Publications Office of the EU [2018, https://data.europa.eu/doi/10.2777/1524] </t>
    </r>
  </si>
  <si>
    <t>Persistence of Service* to allow for updating of the binding between identifier and object</t>
  </si>
  <si>
    <t>e.g. if the object is not longer available, the binding between PID* and object can be updated so that the PID* points to tombstone information</t>
  </si>
  <si>
    <t>Capacity to discover PIDs* from Metadata* and vice versa</t>
  </si>
  <si>
    <t>Vocabulary and Semantic Object* Services*</t>
  </si>
  <si>
    <t>i.e. a standalone or integrated vocabulary Service*. Depending on the commons*, these Services* may be used without using other Services* and Tools*, or it may be integrated with other Services* and Tools*, such as Repositories*.</t>
  </si>
  <si>
    <t>e.g. Semantic data annotation Service*, such that Users* have the ability to link datasets or elements of datasets together with existing concepts/terms coming from ontologies/vocabularies without changing the underlying model of the repo</t>
  </si>
  <si>
    <r>
      <rPr>
        <rFont val="Arial"/>
        <color rgb="FF1155CC"/>
        <u/>
      </rPr>
      <t xml:space="preserve">GORC-WG Case Statement: </t>
    </r>
    <r>
      <rPr>
        <rFont val="Arial"/>
        <color rgb="FF1155CC"/>
        <u/>
      </rPr>
      <t xml:space="preserve">https://www.rd-alliance.org/sites/default/files/GORC%20International%20Model%20WG_%20Case%20Statement%20V4%20July%202021.pdf
</t>
    </r>
    <r>
      <rPr>
        <rFont val="Arial"/>
        <color rgb="FF1155CC"/>
        <u/>
      </rPr>
      <t>D2.1 Report on fair requirements for persistence and Interoperability [2019, FAIRsFAIR] (https://doi.org/10.5281/zenodo.5535719)</t>
    </r>
  </si>
  <si>
    <t>Data* management services* and tools*</t>
  </si>
  <si>
    <t>For all forms of data* and information that is used and passes through the commons, such as ancillary data.</t>
  </si>
  <si>
    <t>Commons* catalogues of all Services* and Tools*, including those hosting Research Objects*</t>
  </si>
  <si>
    <t>Phase 2 Evaluation (May - September 2023), NIST Research Data Framework (RDaF) V1.5 (https://nvlpubs.nist.gov/nistpubs/SpecialPublications/NIST.SP.1500-18r1.pdf)</t>
  </si>
  <si>
    <t>A process to create and add to an open, searchable commons* catalogue that will include pointers to other types of catalogues or collections* and Services*</t>
  </si>
  <si>
    <r>
      <rPr>
        <rFont val="Arial"/>
        <color rgb="FF1155CC"/>
        <u/>
      </rPr>
      <t xml:space="preserve">GORC-WG Case Statement: </t>
    </r>
    <r>
      <rPr>
        <rFont val="Arial"/>
        <color rgb="FF1155CC"/>
        <u/>
      </rPr>
      <t>https://www.rd-alliance.org/sites/default/files/GORC%20International%20Model%20WG_%20Case%20Statement%20V4%20July%202021.pdf</t>
    </r>
  </si>
  <si>
    <t>A marketplace or API for external Service* Providers* to access and add their Services*, such that an interoperable interface is available to third party Services* from the perspective of Users* and creates a Service* catalogue</t>
  </si>
  <si>
    <t>Integrity and quality control mechanisms for Services* and Tools* offered through the commons* by a third party</t>
  </si>
  <si>
    <t>i.e. Ensure functional suitability of the Service* by promoting and using testing techniques that check the compliance with the User* requirement</t>
  </si>
  <si>
    <r>
      <rPr>
        <rFont val="Arial"/>
        <color rgb="FF1155CC"/>
        <u/>
      </rPr>
      <t xml:space="preserve">A Set of Common Service Quality Assurance Baseline Criteria for Research Projects
</t>
    </r>
    <r>
      <rPr>
        <rFont val="Arial"/>
        <color rgb="FF000000"/>
        <u/>
      </rPr>
      <t xml:space="preserve">Turning FAIR into reality - Publications Office of the EU [2018, https://data.europa.eu/doi/10.2777/1524] </t>
    </r>
  </si>
  <si>
    <t>API testing</t>
  </si>
  <si>
    <t>i.e. such that the testing covers the validation of features, an assessment of the security-related criteria, and use test doubles such as mock servers or stubs</t>
  </si>
  <si>
    <r>
      <rPr>
        <rFont val="Arial"/>
        <color rgb="FF1155CC"/>
        <u/>
      </rPr>
      <t xml:space="preserve">A Set of Common Service Quality Assurance Baseline Criteria for Research Projects
</t>
    </r>
    <r>
      <rPr>
        <rFont val="Arial"/>
        <color rgb="FF000000"/>
        <u/>
      </rPr>
      <t xml:space="preserve">Turning FAIR into reality - Publications Office of the EU [2018, https://data.europa.eu/doi/10.2777/1524] </t>
    </r>
  </si>
  <si>
    <t>Integration testing</t>
  </si>
  <si>
    <t>i.e. the evaluation of the interactions among coupled Services* or parts of a system that cooperate to achieve a given functionality, Integration testing should include ensuring previously working interactions with external Services* still work when a new functionality is added and is automated</t>
  </si>
  <si>
    <r>
      <rPr>
        <rFont val="Arial"/>
        <color rgb="FF1155CC"/>
        <u/>
      </rPr>
      <t xml:space="preserve">A Set of Common Service Quality Assurance Baseline Criteria for Research Projects
</t>
    </r>
    <r>
      <rPr>
        <rFont val="Arial"/>
        <color rgb="FF000000"/>
        <u/>
      </rPr>
      <t xml:space="preserve">Turning FAIR into reality - Publications Office of the EU [2018, https://data.europa.eu/doi/10.2777/1524] </t>
    </r>
  </si>
  <si>
    <t>Functional testing</t>
  </si>
  <si>
    <t>i.e. the verification of the Service* identified functionality. Functional testing should cover the full scope (positive, negative, edge cases) for the set functionality that the Service* claims to provide, include the web interface of the Service*, are checked automatically, and are provided by the developers of the underlying software.</t>
  </si>
  <si>
    <r>
      <rPr>
        <rFont val="Arial"/>
        <color rgb="FF1155CC"/>
        <u/>
      </rPr>
      <t xml:space="preserve">A Set of Common Service Quality Assurance Baseline Criteria for Research Projects
</t>
    </r>
    <r>
      <rPr>
        <rFont val="Arial"/>
        <color rgb="FF000000"/>
        <u/>
      </rPr>
      <t xml:space="preserve">Turning FAIR into reality - Publications Office of the EU [2018, https://data.europa.eu/doi/10.2777/1524] </t>
    </r>
  </si>
  <si>
    <t>Performance testing</t>
  </si>
  <si>
    <t>i.e. verifying the Service* meets the specified performance requirements and assess performance characteristics, such as capacity and response time. Stress or load testing, scalability testing</t>
  </si>
  <si>
    <r>
      <rPr>
        <rFont val="Arial"/>
        <color rgb="FF1155CC"/>
        <u/>
      </rPr>
      <t xml:space="preserve">A Set of Common Service Quality Assurance Baseline Criteria for Research Projects
</t>
    </r>
    <r>
      <rPr>
        <rFont val="Arial"/>
        <color rgb="FF000000"/>
        <u/>
      </rPr>
      <t xml:space="preserve">Turning FAIR into reality - Publications Office of the EU [2018, https://data.europa.eu/doi/10.2777/1524] </t>
    </r>
  </si>
  <si>
    <t>Service* and Policy documentation is available</t>
  </si>
  <si>
    <t>e.g. Policy documents which describe the User*’s expected behaviour while using a Service*, how they can access it, and what they can expect regarding privacy of their data. Policies should include an acceptable use policy (i.e. rules applied by owner, creator, administrator that restrict the ways in which the Service* may be used and how it should be used, acceptable use policy or Fair use policy), access policy or terms of use (i.e. binding legal contract between the Users* and Provider* of the Service*), and a privacy policy (i.e. privacy statement informing Users* about which personal data is collected and processed when they use and interact with the Service*, states User* rights).; e.g. Service* documentation must be available online, easily findable and accessible, have a PID*, version controlled, updated on new Service* versions involving any change in the installation, configuration, or behaviour of the Service*, updated whenever reported as inaccurate or unclear, have a non-software licence, and produced according to the target audience</t>
  </si>
  <si>
    <r>
      <rPr>
        <rFont val="Arial"/>
        <color rgb="FF1155CC"/>
        <u/>
      </rPr>
      <t xml:space="preserve">A Set of Common Service Quality Assurance Baseline Criteria for Research Projects
</t>
    </r>
    <r>
      <rPr>
        <rFont val="Arial"/>
        <color rgb="FF000000"/>
        <u/>
      </rPr>
      <t xml:space="preserve">Turning FAIR into reality - Publications Office of the EU [2018, https://data.europa.eu/doi/10.2777/1524] </t>
    </r>
  </si>
  <si>
    <t>Service* security is assured</t>
  </si>
  <si>
    <r>
      <rPr>
        <rFont val="Arial"/>
        <color rgb="FF1155CC"/>
        <u/>
      </rPr>
      <t xml:space="preserve">A Set of Common Service Quality Assurance Baseline Criteria for Research Projects
</t>
    </r>
    <r>
      <rPr>
        <rFont val="Arial"/>
        <color rgb="FF000000"/>
        <u/>
      </rPr>
      <t xml:space="preserve">Turning FAIR into reality - Publications Office of the EU [2018, https://data.europa.eu/doi/10.2777/1524] </t>
    </r>
  </si>
  <si>
    <t>Support for the Service* is available</t>
  </si>
  <si>
    <t>i.e. such as a tracker or helpdesk for operational User* issues, a tracker for underlying software issues, an operational level agreement with the integrated infrastructure, and a Service* level agreement with the User* communities</t>
  </si>
  <si>
    <r>
      <rPr>
        <rFont val="Arial"/>
        <color rgb="FF1155CC"/>
        <u/>
      </rPr>
      <t xml:space="preserve">A Set of Common Service Quality Assurance Baseline Criteria for Research Projects
</t>
    </r>
    <r>
      <rPr>
        <rFont val="Arial"/>
        <color rgb="FF000000"/>
        <u/>
      </rPr>
      <t xml:space="preserve">Turning FAIR into reality - Publications Office of the EU [2018, https://data.europa.eu/doi/10.2777/1524] </t>
    </r>
  </si>
  <si>
    <t>FAIRness of Service*</t>
  </si>
  <si>
    <r>
      <rPr>
        <rFont val="Arial"/>
        <color rgb="FF1155CC"/>
        <u/>
      </rPr>
      <t xml:space="preserve">A Set of Common Service Quality Assurance Baseline Criteria for Research Projects
</t>
    </r>
    <r>
      <rPr>
        <rFont val="Arial"/>
        <color rgb="FF000000"/>
        <u/>
      </rPr>
      <t xml:space="preserve">Turning FAIR into reality - Publications Office of the EU [2018, https://data.europa.eu/doi/10.2777/1524] </t>
    </r>
  </si>
  <si>
    <t>A system to register types of Services* and Tools* that may not already be present in the commons*.</t>
  </si>
  <si>
    <r>
      <rPr>
        <rFont val="Arial"/>
        <color rgb="FF1155CC"/>
        <u/>
      </rPr>
      <t xml:space="preserve">FAIR digital object Fabric IG: </t>
    </r>
    <r>
      <rPr>
        <rFont val="Arial"/>
        <color rgb="FF1155CC"/>
        <u/>
      </rPr>
      <t>https://www.rd-alliance.org/sites/default/files/recommendation-jan-2017-v8_0.pdf</t>
    </r>
    <r>
      <rPr>
        <rFont val="Arial"/>
        <color rgb="FF1155CC"/>
        <u/>
      </rPr>
      <t>, Component 4</t>
    </r>
  </si>
  <si>
    <t xml:space="preserve">Registry of Repositories* </t>
  </si>
  <si>
    <t>i.e. if applicable, the commons* provides a registry of Repositories* that it is and/or is not affiliated with, where Users* can go to discover and deposit Research Objects*. This might include a set of approved repos for use by the commons*.</t>
  </si>
  <si>
    <t>Security and Identification Services*, Authentication and Authorization (AAI)</t>
  </si>
  <si>
    <t>A Service* that mediates access to digital objects* and other Services* and Tools* according to specified conditions; underpins all Services* and Tools* provided through or performed by the commons*</t>
  </si>
  <si>
    <t>FAIR Implementation Profile (FIP) Ontology [2023] (https://peta-pico.github.io/FAIR-nanopubs/fip/index-en.html)</t>
  </si>
  <si>
    <t>Cyber Security Implementations</t>
  </si>
  <si>
    <t>i.e. Services* and Tools*, carried out internally or provided to Users*, that serve the commons* cyber security strategy which targets vulnerabilities of the systems and/or holdings and threats to the system.</t>
  </si>
  <si>
    <t>e.g. threat protection, coordination, firewall</t>
  </si>
  <si>
    <r>
      <rPr>
        <rFont val="Arial"/>
        <color rgb="FF1155CC"/>
        <u/>
      </rPr>
      <t xml:space="preserve">Speaker Series, NII in questionnaire and presentation, e-infra: </t>
    </r>
    <r>
      <rPr>
        <rFont val="Arial"/>
        <color rgb="FF1155CC"/>
        <u/>
      </rPr>
      <t>Resource Category, https://wiki.eoscfuture.eu/display/PUBLIC/B.+v4.00+EOSC+Resource+Profile</t>
    </r>
  </si>
  <si>
    <t>User* authentication (i.e. of each User*)</t>
  </si>
  <si>
    <t xml:space="preserve">i.e. Services* for the identification and authentication of Users*, including Security Assertion markup language identity Providers*, certification authorities, OpenID Connect or OAuth2 Providers* </t>
  </si>
  <si>
    <t xml:space="preserve">e.g. Single Sign-on       </t>
  </si>
  <si>
    <t>e-infra: Resource Category, https://wiki.eoscfuture.eu/display/PUBLIC/B.+v4.00+EOSC+Resource+Profile
EOSC Authentication and Authorization Infrastructure (AAI) - Publications Office of the EU [2021] (https://op.europa.eu/en/Publication-detail/-/Publication/d1bc3702-61e5-11eb-aeb5-01aa75ed71a1/language-en)</t>
  </si>
  <si>
    <t>Identity access and management</t>
  </si>
  <si>
    <t>i.e. User* identity is editable and can be updated by appropriate parties. May also include access granting and revoking privileges to projects, research objects*, etc. controlled by the users* account</t>
  </si>
  <si>
    <t>e.g. Discretionary access control (DAC)- Managing privileges through SQL through the GRANT and REVOKE commands.
e.g. Mandatory access control (MAC)-System-wide policies that cannot be changed by individual users. Each object is assigned a security class, each user a clearance for a security class, and rules imposed on reading and writing. SQL standard does not have support for MAC. Bell-LaPadula model: objects, subjects, security classes, clearances. Classes are ordered. Two base restrictions: Simple security property(subject S is allowed to read object O only if class (S) &gt;= class (O).), *_Property(Subject S is allowed to write object O only if class (S) &lt;= class(O).)
Multilevel Relations and polyinstantiation- When records or tuples within a relation each have their own security class. Polyinstantiation = presence of data objects that appear to have different values to users with different clearances.</t>
  </si>
  <si>
    <r>
      <rPr>
        <rFont val="Arial"/>
        <color rgb="FF1155CC"/>
        <u/>
      </rPr>
      <t xml:space="preserve">e-infra: Resource Category, https://wiki.eoscfuture.eu/display/PUBLIC/B.+v4.00+EOSC+Resource+Profile
</t>
    </r>
    <r>
      <rPr>
        <rFont val="Arial"/>
        <color rgb="FF000000"/>
        <u/>
      </rPr>
      <t>Connolly, T., &amp; Begg, C. (2015). Database Systems: A Practical Approach to Design, Implementation, and Management. Pearson Education Limited. ISBN: 978-1-292-06118-4</t>
    </r>
  </si>
  <si>
    <t>Authorization</t>
  </si>
  <si>
    <t>i.e. authz, controlling access to the end Services* layer. Provide different access rights for groups and Users* (roles) on Research Objects*, their versions*, and Services*, and allow the import of such concepts.
The granting of a right or privilege that enables a subject to have legitimate access to a system or a system’s object. Involves authentication of subjects requesting access to objects</t>
  </si>
  <si>
    <t>e.g. from identity management systems</t>
  </si>
  <si>
    <t>RPRD-IG matrix
EOSC Authentication and Authorization Infrastructure (AAI) - Publications Office of the EU [2021] (https://op.europa.eu/en/Publication*-detail/-/Publication*/d1bc3702-61e5-11eb-aeb5-01aa75ed71a1/language-en)</t>
  </si>
  <si>
    <t>Assess identity verification and assign levels of assurance</t>
  </si>
  <si>
    <t>i.e. the level that the Service* Provider* can be assured that the identity being verified is genuine and of a high standard</t>
  </si>
  <si>
    <t>e.g. Entity validation, including ensuring member;s right to: use particular domain names in relation to protocol endpoints, User*-facing URL endpoints, entityID attributes and for Identity Provider* entities, any scope elements; use URN namespaces; ensuring all required information is present in Metadata* provided; ensuring protocol endpoint provide correct information and are properly provided with TLS/SSL certificates, ensure User* facing URL endpoints are available, ensure technical, administrative, and security contact information is periodically validated</t>
  </si>
  <si>
    <t>Federated identity management for research collaborations IG
EOSC Authentication and Authorization Infrastructure (AAI) - Publications Office of the EU [2021] (https://op.europa.eu/en/Publication*-detail/-/Publication*/d1bc3702-61e5-11eb-aeb5-01aa75ed71a1/language-en)</t>
  </si>
  <si>
    <t>Group Creation and Management</t>
  </si>
  <si>
    <t>i.e. Members* and access permissions of group; group components related to managing and providing information about Users*, including community* group Members*hips and roles</t>
  </si>
  <si>
    <t>e-infra: Resource Category, https://wiki.eoscfuture.eu/display/PUBLIC/B.+v4.00+EOSC+Resource+Profile
EOSC Authentication and Authorization Infrastructure (AAI) - Publications Office of the EU [2021] (https://op.europa.eu/en/Publication*-detail/-/Publication*/d1bc3702-61e5-11eb-aeb5-01aa75ed71a1/language-en)</t>
  </si>
  <si>
    <t>Access protocol translation</t>
  </si>
  <si>
    <t xml:space="preserve"> i.e. SP-IdP-Proxy (integration point), token translation Services* (translate identity tokens between different technologies), discovery Service* (selection of User*’s authentication IdP), User* notice (allows Users* to be informed regarding the processing of their personal data)</t>
  </si>
  <si>
    <t>EOSC Authentication and Authorization Infrastructure (AAI) - Publications Office of the EU [2021] (https://op.europa.eu/en/Publication*-detail/-/Publication*/d1bc3702-61e5-11eb-aeb5-01aa75ed71a1/language-en)</t>
  </si>
  <si>
    <t xml:space="preserve">Remote access
</t>
  </si>
  <si>
    <t>Helpdesk Service*</t>
  </si>
  <si>
    <t>i.e. provide a Service* to take in User* questions and requests and connect them with the appropriate Internal Personnel* for response.</t>
  </si>
  <si>
    <t>e.g. technical help, domain-specific expertise requests</t>
  </si>
  <si>
    <r>
      <rPr>
        <rFont val="Arial"/>
        <color rgb="FF1155CC"/>
        <u/>
      </rPr>
      <t xml:space="preserve">e-infra: </t>
    </r>
    <r>
      <rPr>
        <rFont val="Arial"/>
        <color rgb="FF1155CC"/>
        <u/>
      </rPr>
      <t xml:space="preserve">Resource Category, https://wiki.eoscfuture.eu/display/PUBLIC/B.+v4.00+EOSC+Resource+Profile
</t>
    </r>
    <r>
      <rPr>
        <rFont val="Arial"/>
        <color rgb="FF1155CC"/>
        <u/>
      </rPr>
      <t>D6.1 Overview of needs for competence centres [2019, FAIRsFAIR] (https://doi.org/10.5281/zenodo.5361524)
D6.2 Initial Core Competence Centre Structures [2020, FAIRsFAIR] (https://doi.org/10.5281/zenodo.3732888)</t>
    </r>
  </si>
  <si>
    <t>Essential Element*: Research Objects*</t>
  </si>
  <si>
    <t>Considerations for the displayed, User*-facing accessibility and reusability of Research Objects* held by and discoverable through the research commons*.</t>
  </si>
  <si>
    <t>i.e. in addition to any Research Object*-level specific standards* and quality assurance checks that occur at acquisition</t>
  </si>
  <si>
    <t>Publications* and Research Documentation</t>
  </si>
  <si>
    <t>Any digital, textual, visual, audio, or tactile representations that describe or discuss any aspect of the research project and activities in human or machine readable formats.</t>
  </si>
  <si>
    <t>e.g. pre-print articles, peer-reviewed articles, reports (part, internal, memorandum, progress, policy, project deliverable, technical research), books and/or book chapters, dissertations, nanoPublications*, data management plans, lab notebooks, codebooks, blog entries, presentation slides, presentation videos, patents, miscellaneous text-based works (monographs, bulletins, legislative documents), standards*, technical specifications, teaching materials, conference objects (proceedings, papers, posters, etc), letter, DMPs, research proposal, reviews, technical documentation, working paper, thesis (bachelors, masters, doctoral), musical notation
e.g actionable research documentation (i.e. representations that describe or assign an actionable sequence or process associated with any aspect of a research project) such as SOPs, protocols, workflows, analytical pipelines and algorithms
e.g. research hardware related Publications* and documentation, such as User* manuals</t>
  </si>
  <si>
    <r>
      <rPr>
        <rFont val="Arial"/>
      </rPr>
      <t xml:space="preserve">GORC-IG Typology, SMD Policy Document SPD-41, NIST RDaF, Speaker series, re3data Data Quality Assurance Survey, IIIF, The landscape of open science in Malaysia, 2022
OpenAIRE Guidelines [2022] (https://guidelines.openaire.eu/en/latest/index.html)
FAIR Principles for Research Hardware IG (https://www.rd-alliance.org/sites/default/files/case_statement/FAIR4RH-Charter%20_v2.pdf, </t>
    </r>
    <r>
      <rPr>
        <rFont val="Arial"/>
        <color rgb="FF1155CC"/>
        <u/>
      </rPr>
      <t>https://www.rd-alliance.org/groups/fair-principles-research-hardware)</t>
    </r>
  </si>
  <si>
    <t>A collection* of data that is identifiable and has the potential to be curated or published and is the result or focus of research activities. Research data* can digitally represent a group of observations, a data product from a specific version* of a processing algorithm based on observations, output of numerical model(s), or outcomes of laboratory experiments.</t>
  </si>
  <si>
    <t>e.g. creative research data* (e.g. design), digitized or digital text material (e.g. digital editions), databases (e.g. protein structures), language data (e.g. spoken language corpora), model and simulation data, geo data (e.g. GIS), measured values (e.g. measurement data form specific instruments), data from analyzed sample material, devices / sensor Metadata*, survey data (e.g. household surveys, microdata), images, audio files, video files (with or without audio), Metadata* of physical objects and samples, Metadata* of physical research instruments and equipment, etc.
e.g. Generated experimental data; generated computation data; qualitative data; acquired data, critically evaluated data (numerical that's undergone rigorous review), etc.
e,g, Different formats, such as tables, spreadsheets; charts, graphs; maps, vectors, images; instrument outputs; dynamic data; datasets from models and simulations; structured data
e.g. research hardware related research data*, such as calibration data</t>
  </si>
  <si>
    <r>
      <rPr>
        <rFont val="Arial"/>
      </rPr>
      <t xml:space="preserve">GORC-IG Typology, re3data Data Quality Assurance Survey
NIST Research Data Framework (RDaF) V1.5 (https://nvlpubs.nist.gov/nistpubs/SpecialPublications/NIST.SP.1500-18r1.pdf)
FAIR Principles for Research Hardware IG (https://www.rd-alliance.org/sites/default/files/case_statement/FAIR4RH-Charter%20_v2.pdf, </t>
    </r>
    <r>
      <rPr>
        <rFont val="Arial"/>
        <color rgb="FF1155CC"/>
        <u/>
      </rPr>
      <t>https://www.rd-alliance.org/groups/fair-principles-research-hardware)</t>
    </r>
    <r>
      <rPr>
        <rFont val="Arial"/>
      </rPr>
      <t>\</t>
    </r>
  </si>
  <si>
    <t>Any software component created during the research process or for a research purpose that is implementable or executable by a computer or machine.
Does not include software components that are used for research but were not created during or with a clear research intent</t>
  </si>
  <si>
    <t>E.g. software executables, source code, scripts, computational workflows, packages, containers, virtual machine images, Services*, platform* and infrastructure, Tools*, libraries, research hardware software endpoints such as LabView and IgorPro programs, etc that are created for an explicit or specific research purpose
E.G. Not operating systems, libraries, dependencies, packages, scripts that have not been created for an explicit research purpose</t>
  </si>
  <si>
    <r>
      <rPr>
        <rFont val="Arial"/>
      </rPr>
      <t xml:space="preserve">GORC-IG Typology, FAIR for Research Software* WG, Task Group 3 Phase 1 Evaluation (October 2022 - April 2023)
FAIR Principles for Research Hardware IG (https://www.rd-alliance.org/sites/default/files/case_statement/FAIR4RH-Charter%20_v2.pdf, </t>
    </r>
    <r>
      <rPr>
        <rFont val="Arial"/>
        <color rgb="FF1155CC"/>
        <u/>
      </rPr>
      <t>https://www.rd-alliance.org/groups/fair-principles-research-hardware)</t>
    </r>
  </si>
  <si>
    <t>Semantic Objects*</t>
  </si>
  <si>
    <t>i.e. any format and representation of Semantic Objects*. Semantic Objects* are a named grouping of descriptive elements that sufficiently describe a distinct identity. Semantic Objects* may be in the form of documentation, Research Software*, or research data*. They may also be referred to as Semantic Artefacts*, defined as groups of entities with unique identifiers where entities include subjects, predicates, and objects that can be linked together to form a network that describes a dataset. In this model, Semantic Objects*/Artefacts are not considered as collections, since collections are comprised of Research Objects* and not entities.</t>
  </si>
  <si>
    <t xml:space="preserve">e.g, any form of taxonomy or taxonomic classification (a scheme of classification, especially a hierarchical classification, in which things are organized into groups or types), vocabulary (a list or collection* of words or of words and phrases usually alphabetically arranged and explained or defined), ontology (a set of concepts and categories in a subject area or domain that shows their properties and the relations between them.)
e.g. glossary,  controlled vocabulary, thesaurus, data models, taxonomies, ontologies </t>
  </si>
  <si>
    <r>
      <rPr>
        <rFont val="Arial"/>
        <color rgb="FF1155CC"/>
        <u/>
      </rPr>
      <t xml:space="preserve">Phase 1 Workshop (co-located with RDA P20, 24 March 2023)
</t>
    </r>
    <r>
      <rPr>
        <rFont val="Arial"/>
        <color rgb="FF1155CC"/>
        <u/>
      </rPr>
      <t>D2.1 Report on fair requirements for persistence and Interoperability</t>
    </r>
    <r>
      <rPr>
        <rFont val="Arial"/>
        <color rgb="FF1155CC"/>
        <u/>
      </rPr>
      <t xml:space="preserve"> [2019, FAIRsFAIR]</t>
    </r>
  </si>
  <si>
    <t>Collections*</t>
  </si>
  <si>
    <t xml:space="preserve">A combination or bundle of Research Objects* of the same kind or different kinds that share a relationship, that is treated as a digital object* which may bear a PID*, and consists of a finite number of digital object* identifiers and Metadata* associated with each referenced identifier. </t>
  </si>
  <si>
    <t>e.g. collections* may include projects (i.e. items containing researchers, institution, funder, time period, synopsis, etc.) and research compendium*s (i.e. A bundle of all the research artifacts used and necessary to support a research claim, such that the claim is completely reproducible using only what is provided or referenced in the research compendium*.).</t>
  </si>
  <si>
    <t>KPIs* &amp; Metrics*</t>
  </si>
  <si>
    <t>Items in View:</t>
  </si>
  <si>
    <t>Dimensions to consider</t>
  </si>
  <si>
    <t>Relationship to the model</t>
  </si>
  <si>
    <t>Theme</t>
  </si>
  <si>
    <t>Type (KPI* or Metric*)</t>
  </si>
  <si>
    <t>KPIs* &amp; Metrics* Statement</t>
  </si>
  <si>
    <t>Extended Description and Examples</t>
  </si>
  <si>
    <t>Source(s)</t>
  </si>
  <si>
    <t>Internal vs External information needed</t>
  </si>
  <si>
    <t>Measurement of</t>
  </si>
  <si>
    <t>Indicator of</t>
  </si>
  <si>
    <t>Affiliated Category* or Attribute*</t>
  </si>
  <si>
    <t>Reasoning</t>
  </si>
  <si>
    <t>Commons* Governance* and Policy</t>
  </si>
  <si>
    <t>Encapsulating KPIs*and metrics*related to governance* &amp; Leadership, Rules of Participation &amp; Access*, Sustainability*, Engagement*, and Human Capacity*.</t>
  </si>
  <si>
    <t>KPIs*</t>
  </si>
  <si>
    <t>The commons* complies with all applicable legal and ethical guidelines, in a transparent and auditable way.</t>
  </si>
  <si>
    <t>Has 4 distinct parts, in order of likely priority: legal and transparent, legal and auditable, ethical and transparent, ethical and auditable</t>
  </si>
  <si>
    <t>Developing</t>
  </si>
  <si>
    <t>Internal</t>
  </si>
  <si>
    <t>Governance* &amp; Management</t>
  </si>
  <si>
    <t>Governance* &amp; Leadership* &gt; Internal Commons* Policy Development, implementation, and review &gt; Development of policies and guidelines for commons* operations</t>
  </si>
  <si>
    <t>This KPI* is multi-level indicator of success that will likely be achieved over time and in stages.  The commitment to legal compliance, ethical compliance, and doing so in a transparent and auditable way is set by the governance* structure and showcases management's ability to orchestrate that compliance</t>
  </si>
  <si>
    <t>Compliance to international and domain-specific (where applicable) standards has resulted in the commons*, or a Service* or platform* of the commons* e.g. a subsidiary, obtaining an internationally recognized Repository* certification</t>
  </si>
  <si>
    <t>e.g. CoreTrustSeal, Data Seal of Approval</t>
  </si>
  <si>
    <t>RDA/WDS Data Publication* workflows WG recommendations (https://zenodo.org/record/1406045#.YJJjoKFlBPb)</t>
  </si>
  <si>
    <t>Established</t>
  </si>
  <si>
    <t>Standards* &amp; Conventions</t>
  </si>
  <si>
    <t>A goal for the commons* to achieve in regards to the implementation of community standards in it's Services* and platforms.</t>
  </si>
  <si>
    <t>The commons* enables FAIR data by elevating the FAIRness of digital objects* and/or supporting the FAIRification process.</t>
  </si>
  <si>
    <t>FAIR enablement is actively driven through the implementation of community*-supported standards and Interoperability* frameworks.</t>
  </si>
  <si>
    <t>Interoperability* / Standards* * Conventions</t>
  </si>
  <si>
    <t>Governance* &amp; Leadership* &gt; Research Object* and Services* &amp; Tools* governance* rules, principles, and enforcement of quality. &gt; A statement on the level of commitment to promoting, implementing, endorsing, and/or enforcing the FAIR principles</t>
  </si>
  <si>
    <t>Enabling FAIRness is largely within Interoperability and Standards &amp; Conventions, which are then applied to other essential elements and individual items of the model in turn. The success of these implementations is an indicator of successful governance* target setting and management implementation.</t>
  </si>
  <si>
    <t>The commons* enables CARE data by elevating the rights of Indigenous communities and their control over and benefit from Indigenous digital objects*</t>
  </si>
  <si>
    <t>CARE enablement is actively driven through the implementation of community*-supported standards and Interoperability* frameworks.</t>
  </si>
  <si>
    <t xml:space="preserve">Operationalizing the CARE and FAIR Principles for Indigenous data futures (2021) https://doi.org/10.1038/s41597-021-00892- 0 
</t>
  </si>
  <si>
    <t>Initial</t>
  </si>
  <si>
    <t>Governance* &amp; Leadership* &gt; Research Object* and Services* &amp; Tools* governance* rules, principles, and enforcement of quality. &gt; A statement on the level of commitment to promoting, implementing, endorsing, and/or enforcing the CARE principles</t>
  </si>
  <si>
    <t>Enabling CARE is largely within Interoperability and Standards &amp; Conventions, which are then applied to other essential elements and individual items of the model in turn. The success of these implementations is an indicator of successful governance* target setting and management implementation.</t>
  </si>
  <si>
    <t>The commons* enables TRUST infrastructure, services* and tools*</t>
  </si>
  <si>
    <t>TRUST enablement is actively driven through the implementation of community*-supported standards and Interoperability* frameworks.</t>
  </si>
  <si>
    <t>ICT / Services* &amp; Tools*</t>
  </si>
  <si>
    <t>Governance* &amp; Leadership* &gt; Research Object* and Services* &amp; Tools* governance* rules, principles, and enforcement of quality. &gt; A statement on the level of commitment to promoting, implementing, endorsing, and/or enforcing the TRUST principles</t>
  </si>
  <si>
    <t>Enabling TRUST is largely within ICT Infrastructure* and Services* and Tools*. The success of these implementations is an indicator of successful governance* target setting and management implementation.</t>
  </si>
  <si>
    <t>The commons* enables environmental sustainability in all operations.</t>
  </si>
  <si>
    <t>e.g. the commons aims for carbon neutrality for infrastructure operations</t>
  </si>
  <si>
    <t>Governance* &amp; Leadership* &gt; Research Object* and Services* &amp; Tools* governance* rules, principles, and enforcement of quality. &gt; A statement on the level of commitment to promoting, implementing, endorsing, and/or enforcing environmental sustainability</t>
  </si>
  <si>
    <t>Enabling environmental sustainability is largely within Standards &amp; Conventions, which are then applied to other essential elements and individual items of the model in turn. The success of these implementations is an indicator of successful governance* target setting and management implementation.</t>
  </si>
  <si>
    <t xml:space="preserve">Commons* staff have or are spending time as researchers to better understand the challenges they have making data available in a way that supports findability
</t>
  </si>
  <si>
    <t>M4.7 Improved Description of Data Repositories* [2020, FAIRsFAIR] (https://doi.org/10.5281/zenodo.5471811)</t>
  </si>
  <si>
    <t>Human Capacity* &gt; Internal Capacity*</t>
  </si>
  <si>
    <t>A goal for internal staff experience, speaking to their ability to empathize with researchers and therefore enable better interactions and support to researchers.</t>
  </si>
  <si>
    <t>The commons* is managed so that it serves the (possibly evolving) goals of the User* community* and maximises usability while minimizing burden.</t>
  </si>
  <si>
    <t>governance* &amp; Leadership &gt; commons* strategic planning &gt; Development of strategy</t>
  </si>
  <si>
    <t>A dynamic goal for the management and strategic planning process of the commons. How well the strategic plan is implemented, and an indicator of how well that strategic plan addresses and can adapt to  evolving needs of the user community.</t>
  </si>
  <si>
    <t>Metrics*</t>
  </si>
  <si>
    <t>A measure for the commons* adherence to and compliance with relevant policies</t>
  </si>
  <si>
    <t>May be a % increase over time or an absolute #.</t>
  </si>
  <si>
    <t>MEASUREMENT of policy compliance, INDICATOR of how well the policy goals set by governance are met by management's implementations</t>
  </si>
  <si>
    <t>% of implemented recommended practises for all commons* projects, programming, and Services*</t>
  </si>
  <si>
    <t>e.g. contracting, management, etc.. may be split by area</t>
  </si>
  <si>
    <t>Speaker Series (IBICT)</t>
  </si>
  <si>
    <t>MEASUREMENT of compliance with recommended standards and conventions as well as actionable interoperability items, which is an INDICATOR of the internal personnel capacity to do this work</t>
  </si>
  <si>
    <t># of operational standards, schemas, APIs, and Metadata* frameworks adopted by the commons* that support FAIR DOs* and their automated processing</t>
  </si>
  <si>
    <t>identifying in particular those that are or enable cross-disciplinary research and cross-connecting commons*</t>
  </si>
  <si>
    <r>
      <rPr>
        <rFont val="Arial"/>
        <color rgb="FF1155CC"/>
        <u/>
      </rPr>
      <t xml:space="preserve">Task Group 4 Phase 1 Evaluation (October 2022 - April 2023), Speaker Series - EOSC: https://eosc.eu/wp-content/uploads/2023/08/Monitoring-Framework.pdf (2022), from </t>
    </r>
    <r>
      <rPr>
        <rFont val="Arial"/>
        <color rgb="FF1155CC"/>
        <u/>
      </rPr>
      <t>https://eosc.eu/monitoring-reporting/</t>
    </r>
  </si>
  <si>
    <t>MEASUREMENT of compliance with FAIR DO enabling standards, which is an INDICATOR of the commons* delivering on its stated level of commitment to FAIR.</t>
  </si>
  <si>
    <t># of inter and cross-disciplinary use cases conducted on data sharing practises</t>
  </si>
  <si>
    <r>
      <rPr>
        <rFont val="Arial"/>
        <color rgb="FF1155CC"/>
        <u/>
      </rPr>
      <t xml:space="preserve">Speaker Series - EOSC: https://eosc.eu/wp-content/uploads/2023/08/Monitoring-Framework.pdf (2022), from </t>
    </r>
    <r>
      <rPr>
        <rFont val="Arial"/>
        <color rgb="FF1155CC"/>
        <u/>
      </rPr>
      <t>https://eosc.eu/monitoring-reporting/</t>
    </r>
  </si>
  <si>
    <t>Expanding</t>
  </si>
  <si>
    <t>Interoperability* &gt; Technical Interoperability* ; Standards* &amp; Conventions* &gt; Community* supported Research Object* standards and conventions</t>
  </si>
  <si>
    <t>MEASUREMENT of number specific use cases, INDICATOR of commons* commitment to interoperability through standards and conventions of data sharing practises.</t>
  </si>
  <si>
    <t># of landscape reviews conducted/completed</t>
  </si>
  <si>
    <t>Speaker series (MOSP)</t>
  </si>
  <si>
    <t>Governance* &gt; Regular review and alignment of strategic planning, organizational structure</t>
  </si>
  <si>
    <t>MEASUREMENT of how much time and people the commons* can dedicate to landscape reviews, and ultimately being well versed in what is happening in the commons* community*. INDICATOR of priority placed on being knowledgeable about the commons* community* as an input into Governance* and decision making processes</t>
  </si>
  <si>
    <t># of internal positions filled</t>
  </si>
  <si>
    <t>Could be extended to staff hours to include full and part time, as well as third party contracts.</t>
  </si>
  <si>
    <t>Human Capacity* &gt; Internal Capacity</t>
  </si>
  <si>
    <t>Direct MEASUREMENT of staff roles or hours, INDICATOR of the internal staff capacity</t>
  </si>
  <si>
    <t xml:space="preserve"># of training events dedicated for Internal Personnel* regarding commons* processes and procedures	</t>
  </si>
  <si>
    <t>Human Capacity &gt; Internal Capacity*</t>
  </si>
  <si>
    <t>MEASUREMENT of dedicated Engagement* through training with internal personnel and INDICATOR of human capacity increase through events</t>
  </si>
  <si>
    <t>% of Internal Personnel* trained on commons* processes and procedures</t>
  </si>
  <si>
    <t>may be split by area</t>
  </si>
  <si>
    <t>MEASUREMENT of Engagement* with internal personnel through professional development training, INDICATOR of human capacity increase.due to said training</t>
  </si>
  <si>
    <t># of research areas, disciplines or domains served by the commons*</t>
  </si>
  <si>
    <t>some may be measured by proxies such as number of research infrastructures, instruments or data Services*</t>
  </si>
  <si>
    <r>
      <rPr>
        <rFont val="Arial"/>
        <color rgb="FF1155CC"/>
        <u/>
      </rPr>
      <t xml:space="preserve">Task Group 5 Phase 1 Evaluation (October 2022 - April 2023); Speaker Series - EOSC: https://eosc.eu/sites/default/files/2022-05/Monitoring%20Framework.pdf, from </t>
    </r>
    <r>
      <rPr>
        <rFont val="Arial"/>
        <color rgb="FF1155CC"/>
        <u/>
      </rPr>
      <t>https://eosc.eu/monitoring-reporting/</t>
    </r>
  </si>
  <si>
    <t>Engagement* &gt; Active promotion to intended audiences to participate in the commons* ; Incentivisation to intended audiences to participate in or with the Commons*</t>
  </si>
  <si>
    <t>MEASUREMENT and INDICATOR of Engagement* and uptake within disciplines</t>
  </si>
  <si>
    <t># of research disciplines world-wide that commons* representatives (e.g. Members*, Providers*, staff) provide recommendations on standards and open research best practises</t>
  </si>
  <si>
    <t>identifying in particular recommendations on cross-disciplinary recommendations</t>
  </si>
  <si>
    <r>
      <rPr>
        <rFont val="Arial"/>
        <color rgb="FF1155CC"/>
        <u/>
      </rPr>
      <t xml:space="preserve">Task Group 4 Phase 1 Evaluation (October 2022 - April 2023), Speaker Series - EOSC: https://eosc.eu/sites/default/files/2022-05/Monitoring%20Framework.pdf, from </t>
    </r>
    <r>
      <rPr>
        <rFont val="Arial"/>
        <color rgb="FF1155CC"/>
        <u/>
      </rPr>
      <t>https://eosc.eu/monitoring-reporting/</t>
    </r>
  </si>
  <si>
    <t>Governance* &gt; Commons* Strategic Planning &gt; Policy advocacy and recommendations</t>
  </si>
  <si>
    <t>MEASUREMENT of commons* Engagement* with the global research community* through standards interaction, INDICATOR of success of policy advocacy through standards and recommendations developments.</t>
  </si>
  <si>
    <t xml:space="preserve"> # of commons* created or co-created standards prepared and published</t>
  </si>
  <si>
    <t>MEASUREMENT of commons* contribution to standards, INDICATOR of success of policy advocacy through standards development and setting.</t>
  </si>
  <si>
    <t>Commons* budget year over year or quarter over quarter</t>
  </si>
  <si>
    <t xml:space="preserve"> possibly represented as a % increase</t>
  </si>
  <si>
    <t>Sustainability &gt; Suitable viable plan, schemes, and implementations for resourcing and capacity building on the medium and long term</t>
  </si>
  <si>
    <t>MEASUREMENT and INDICATOR of financial sustainability over time.</t>
  </si>
  <si>
    <t>A measure for cost-efficiency in commons* operations</t>
  </si>
  <si>
    <t>May be done per project or work area.
e.g. % spending of total project budget, accumulated partner commitments</t>
  </si>
  <si>
    <t>MEASUREMENT and INDICATOR of financial sustainability of commons operations.</t>
  </si>
  <si>
    <t>Mean time to help or issue ticket resolution and/or mean time to issue resolution within support Services*</t>
  </si>
  <si>
    <t>XSEDE final report (https://www.ideals.illinois.edu/items/124108)</t>
  </si>
  <si>
    <t>Human Capacity* &gt; Operations and Infrastructure management Services*</t>
  </si>
  <si>
    <t>Direct measurement of internal staff ability to respond to User* requests, the ease of use and responsiveness of the help desk, and the ease of use for Users*</t>
  </si>
  <si>
    <t>Commons* Engagement* with stakeholders*</t>
  </si>
  <si>
    <t>KPIs*and metrics* related to commons* interactions and Engagement* with stakeholders*, including for training, communications, partnerships, Services* and tools*, and participating in regional, national, and international groups.</t>
  </si>
  <si>
    <t>The commons* communicates with its stakeholders in a transparent manner.</t>
  </si>
  <si>
    <t xml:space="preserve">Engagement* &gt; Structured and coordinated communication plan and mechanism, medium, or channels	</t>
  </si>
  <si>
    <t>A goal for the communications plan and resulting engagements the commons* has with stakeholders of all kinds.</t>
  </si>
  <si>
    <t># of partnerships with other research commons, research infrastructure hosts, research institutes, and research funders to build (pan)national research assets</t>
  </si>
  <si>
    <t>e.g. universities, medical research institutes, (pan)national facilities, and government agencies</t>
  </si>
  <si>
    <t>Random Encounter (ICRI2022 presentation by Rosie Hicks, Speaker Series - ARDC)</t>
  </si>
  <si>
    <t>Engagement* &gt; Engagement* with other research commons, research infrastructure hosts, research institutions, and research funders</t>
  </si>
  <si>
    <t>Direct MEASUREMENT and INDICATOR of commons* community* engagement</t>
  </si>
  <si>
    <t># of connections with commons* outside targeted geographical audience</t>
  </si>
  <si>
    <t>Speaker Series: specifically stated by KISTII during presentation and in slides (https://www.rd-alliance.org/system/files/documents/KRDC_Introduction%28GORC%29%2820220728%2C09%2CSa-kwang%20Song%29.pdf)</t>
  </si>
  <si>
    <t>A measure for stakeholder* contributions to commons* projects</t>
  </si>
  <si>
    <t>e.g. resources pledged (80% of experiment requirements), at least one partner representative on each project steering board, staff time commitments to working on the project (90% of required hours committed by partners)</t>
  </si>
  <si>
    <t>Direct MEASUREMENT and INDICATOR of commons* engagement with stakeholders*, specifically partners such as research institutions and other commons.</t>
  </si>
  <si>
    <t xml:space="preserve">Distinction between % or numbers of access and Engagement* interactions with regular (human) Users* and machine Users* </t>
  </si>
  <si>
    <t>This could be represented as a ratio (e.g. one our of every five accesses of data are machines) , percentages (e.g. 20% of data access events are by machines), or raw numbers.</t>
  </si>
  <si>
    <t>Random encounters</t>
  </si>
  <si>
    <t>MEASUREMENT of User* Engagement* based on type of User*, INDICATOR of successful promotion and incentivization to use the commons* Services*, Tools*, collection*</t>
  </si>
  <si>
    <t># of individual User* accounts</t>
  </si>
  <si>
    <t>Speaker Series (Alliance)</t>
  </si>
  <si>
    <t>MEASUREMENT and INDICATOR of Engagement* with intended user community</t>
  </si>
  <si>
    <t># of institutional accounts</t>
  </si>
  <si>
    <t># of Users*, Providers*, and Members*</t>
  </si>
  <si>
    <t>if feasible identifying those from underrepresented groups and from non-target disciplines. This number is likely larger than the number of user accounts.</t>
  </si>
  <si>
    <t>Direct MEASUREMENT and INDICATOR of engagement, resulting from commons* promotion and adoption in the community*.</t>
  </si>
  <si>
    <t># of Users*, Providers*, and Members* from outside targeted geographical audience</t>
  </si>
  <si>
    <t xml:space="preserve"> if feasible identifying those from underrepresented groups and from non-target disciplines</t>
  </si>
  <si>
    <r>
      <rPr>
        <rFont val="Arial"/>
      </rPr>
      <t xml:space="preserve">Speaker Series - EOSC: https://eosc.eu/sites/default/files/2022-05/Monitoring%20Framework.pdf, from </t>
    </r>
    <r>
      <rPr>
        <rFont val="Arial"/>
        <color rgb="FF1155CC"/>
        <u/>
      </rPr>
      <t>https://eosc.eu/monitoring-reporting/</t>
    </r>
  </si>
  <si>
    <t>Direct MEASUREMENT and INDICATOR of engagement, resulting from commons* promotion and adoption in the community*. Could also be an indicator of how successful the communications strategy is</t>
  </si>
  <si>
    <t>Types and geographic spread of Members*, Users*, and Providers*</t>
  </si>
  <si>
    <t>A breakdown of the total number of individuals associated with the commons.</t>
  </si>
  <si>
    <r>
      <rPr>
        <rFont val="Arial"/>
      </rPr>
      <t xml:space="preserve">Speaker Series - EOSC: https://eosc.eu/sites/default/files/2022-05/Monitoring%20Framework.pdf, from </t>
    </r>
    <r>
      <rPr>
        <rFont val="Arial"/>
        <color rgb="FF1155CC"/>
        <u/>
      </rPr>
      <t>https://eosc.eu/monitoring-reporting/</t>
    </r>
  </si>
  <si>
    <t># of sustained community* Members* using the commons* resources and Services*</t>
  </si>
  <si>
    <t>i.e. User* retention, identify # from underrepresented groups if feasible (i.e. User* retention from underrepresented groups) and from non-target disciplines (i.e. User* retention from disciplines outside the commons* main scope)</t>
  </si>
  <si>
    <t>Direct MEASUREMENT of User* engagement. Could also be used as an INDICATOR for the success of an EDII* statement or commitment in RoP.A, the sustainability of the commons* to continue providing attractive Services* and tools, as well as human capacity for ease of use for users.</t>
  </si>
  <si>
    <t># of new Users*, Providers*, and Members*</t>
  </si>
  <si>
    <t>if feasible identifying from underrepresented groups and from non-target disciplines</t>
  </si>
  <si>
    <t>Direct MEASUREMENT of User* engagement. Could also be used as an INDICATOR for the success of human capacity and attractiveness of the commons.</t>
  </si>
  <si>
    <t># of Users*/Providers* trained</t>
  </si>
  <si>
    <t>possibly divided by training type or Engagement* activity type</t>
  </si>
  <si>
    <t xml:space="preserve">Engagement* &gt; Training and education hosted, provided, and/or contributed to by the commons* for individuals and groups in the commons* community*	</t>
  </si>
  <si>
    <t>Direct MEASUREMENT and INDICATOR of User* engagement.</t>
  </si>
  <si>
    <t># of participants in live training delivered by the commons*</t>
  </si>
  <si>
    <t xml:space="preserve"> if possible differentiating between online and in-person. Likely a larger number than the number of users and providers (i.e. identified participants in the commons) who have been trained or participate in training, and therefore Could be considered a subset of the above metric*, but keeping separate since it's possible that Users* and Providers* are a subset of the total community*, and therefore participants, for some commons*.</t>
  </si>
  <si>
    <t>Direct MEASUREMENT and INDICATOR of engagement.</t>
  </si>
  <si>
    <t># of students (grade school, undergraduate, graduate) benefiting from commons* resources and Services* through training, projects, or meeting attendance (conferences, gathering exercises, etc.)</t>
  </si>
  <si>
    <t>identify those from underrepresented groups if feasible</t>
  </si>
  <si>
    <t>Engagement* &gt; Training and education hosted, provided, and/or contributed to by the commons* for individuals and groups in the commons* community*  ; Structured, coordinated, and implemented communication and engagement* plan and mechanism, medium, or channels ; Active promotion to intended audiences to participate in the commons* ; Incentivisation to intended audiences to participate in or with the Commons*</t>
  </si>
  <si>
    <t>Direct measurement and indicator of Engagement* through a variety of channels for a specific commons* community* subset.</t>
  </si>
  <si>
    <t># of skills, workforce development, and Engagement* events annually</t>
  </si>
  <si>
    <t>Human Capacity* &gt; Internal Capacity*.</t>
  </si>
  <si>
    <t>MEASUREMENT of the level of Engagement* opportunities with the community*, INDICATOR of the Internal Capacity* to organize and run these events</t>
  </si>
  <si>
    <t># of community* member requirements and requests responded to and resolved per month</t>
  </si>
  <si>
    <t>regardless of the request being granted or denied</t>
  </si>
  <si>
    <t>Human Capacity* &gt; Skills for planning, managing and assessing Service* delivery &gt; Prioritization of identified needs and derived requirements of Users*</t>
  </si>
  <si>
    <t>Direct MEASUREMENT of internal staff ability to respond to these requests, recommendations, and requirements, INDICATOR of both the ease of user for users and of internal capacity to address gaps.</t>
  </si>
  <si>
    <t>Frequency of commons*-wide fora</t>
  </si>
  <si>
    <r>
      <rPr>
        <rFont val="Arial"/>
      </rPr>
      <t xml:space="preserve">Speaker Series - EOSC: https://eosc.eu/sites/default/files/2022-05/Monitoring%20Framework.pdf, from </t>
    </r>
    <r>
      <rPr>
        <rFont val="Arial"/>
        <color rgb="FF1155CC"/>
        <u/>
      </rPr>
      <t>https://eosc.eu/monitoring-reporting/</t>
    </r>
  </si>
  <si>
    <t>Engagement* &gt; community* input and feedback</t>
  </si>
  <si>
    <t>Direct MEASUREMENT of community* engagement, INDICATOR of opportunities for commons* community* to meet, interact, and ideally, provide feedback.</t>
  </si>
  <si>
    <t># of regional and international communities of practise and interest groups supported by the commons*</t>
  </si>
  <si>
    <t>MEASUREMENT of the level of Engagement* opportunities with the broader community*, INDICATOR of the Internal Capacity* to participate and contribute to CoPs and IGs</t>
  </si>
  <si>
    <t># of assets being developed with commons* co-investment at a regional, national, and international level</t>
  </si>
  <si>
    <t>Random Encounter (ICRI2022 presentation by Rosie Hicks, Speaker series)</t>
  </si>
  <si>
    <t>Engagement* &gt; Engagement* with other research commons*, research infrastructure hosts, research institutions, and research funders ; Incentivisation to intended audiences to participate in or with the Commons* &gt; Funding competitions</t>
  </si>
  <si>
    <t>MEASUREMENT of community investment by the commons, possibly through funding competitions, INDICATOR of Engagement* with related infrastructures and groups in the commons* community* and likewise possibly the success of funding competitions.</t>
  </si>
  <si>
    <t># of guidelines and policies created for the research community*</t>
  </si>
  <si>
    <t>Human Capacity* &gt; Internal Capacity* &gt; Internal positions for...</t>
  </si>
  <si>
    <t>MEASUREMENT of the level of Engagement* with the research community*, both in terms of knowing what to propose to them and identifying gaps as well as knowing how and where to share the material. INDICATOR of the commons* human capacity* to do the work.</t>
  </si>
  <si>
    <t># of funding opportunities offered to researchers</t>
  </si>
  <si>
    <t>Engagement* &gt; Funding competitions</t>
  </si>
  <si>
    <t>MEASUREMENT and INDICATOR of Engagement* through funding competitions</t>
  </si>
  <si>
    <t>$ awarded in total in each funding opportunity and overall to researchers</t>
  </si>
  <si>
    <t>may break down into # of projects funded, # of applications, etc.</t>
  </si>
  <si>
    <t># of social media impressions over time</t>
  </si>
  <si>
    <t># social media views (e.g. youtube views per month), # social media subscriptions (e.g. per month)</t>
  </si>
  <si>
    <t>Engagement* &gt; Structured, coordinated, and implemented communication and engagement* plan and mechanism, medium, or channels</t>
  </si>
  <si>
    <t>Direct MEASUREMENT and INDICATOR of community Engagement* through a specific channel (social media)</t>
  </si>
  <si>
    <t># of commons*-related media hits</t>
  </si>
  <si>
    <t>External</t>
  </si>
  <si>
    <t>Direct MEASUREMENT and INDICATOR of community Engagement* through a specific channel (news sites)</t>
  </si>
  <si>
    <t>Content production per time period, appropriate for the commons* communications channels and audiences</t>
  </si>
  <si>
    <t>e.g.# articles per year (published by commons*, per journal and per topic), # of newsletter Publications* per year (per newsletter source), # press releases per year, # quotes from, partners on website and social media posts, # surveys with published results, # flyers (by topic), # infographics (by topic) and other graphical, materials (e.g. roll-ups), # informational videos, # video interviews (by topic and group, e.g. partners, stakeholders), # social media connections (tweets or retweets/week, posts per month), # webinars with min attendance (e..g at least 40 attendees)</t>
  </si>
  <si>
    <t>D5.1 FAIRsFAIR Communication, Marketing and Engagement* Plan [2019. FAIRsFAIR] (https://doi.org/10.5281/zenodo.6656060)</t>
  </si>
  <si>
    <t>MEASUREMENT of Engagement* items that have gone out, INDICATOR of human capacity* to create the content</t>
  </si>
  <si>
    <t>Feedback from and satisfaction of stakeholders*</t>
  </si>
  <si>
    <t>Net Promoter Score (NPS) of the commons*, absolute target or a % increase over time.</t>
  </si>
  <si>
    <t>In a community* survey asking "On a scale of 0-10, how likely are you to recommend the commons* to a friend or colleague?", NPS Score = % promoters (9-10/10) - % detractors (0-6/10).</t>
  </si>
  <si>
    <r>
      <rPr>
        <rFont val="Arial"/>
        <color rgb="FF1155CC"/>
        <u/>
      </rPr>
      <t>Phase 1 Workshop (co-located with RDA P20, 24 March 2023) (</t>
    </r>
    <r>
      <rPr>
        <rFont val="Arial"/>
        <color rgb="FF1155CC"/>
        <u/>
      </rPr>
      <t>definition</t>
    </r>
    <r>
      <rPr>
        <rFont val="Arial"/>
        <color rgb="FF1155CC"/>
        <u/>
      </rPr>
      <t>)</t>
    </r>
  </si>
  <si>
    <t>Governance* &gt; Development of Strategy</t>
  </si>
  <si>
    <t>MEASUREMENT of community* member satisfaction across all outward aspects of the commons* and an INDICATOR of the commons* fulfilling its value proposition.</t>
  </si>
  <si>
    <t>Aggregate mean User* rating of commons* Research Objects* and Services* &amp; Tools*</t>
  </si>
  <si>
    <t>either their importance, impact or satisfaction. Could differentiate between types of Users* (e.g. principal investigators, undergraduate students, etc).</t>
  </si>
  <si>
    <t>Services* &amp; Tools* / Research Objects*</t>
  </si>
  <si>
    <t>Human Capacity* &gt; Ease of use for Users*</t>
  </si>
  <si>
    <t>MEASUREMENT of findability and availability of Services* &amp; Tools* and Research Objects*, INDICATOR of ease of use for Users* to then find and interact with them</t>
  </si>
  <si>
    <t>Aggregate mean rating of Provider* satisfaction with commons* software, ICT* capabilities, and Research Objects*.</t>
  </si>
  <si>
    <t>Specifically the overall capabilities of the commons.</t>
  </si>
  <si>
    <t>ICT* / Research Objects*</t>
  </si>
  <si>
    <t>MEASUREMENT of satisfaction with ICT* and Research Objects*, INDICATOR of ease of use for providers (those who use the Service* and contribute research outputs to the commons*). Could also be an indicator of governance* and delivery on value proposition and mission.</t>
  </si>
  <si>
    <t>Aggregate mean rating of User* satisfaction with commons* software, ICT* capabilities, and Research Objects*</t>
  </si>
  <si>
    <t>Specifically the overall capabilities of the commons</t>
  </si>
  <si>
    <t>MEASUREMENT of satisfaction with ICT* and Research Objects*, INDICATOR of ease of use for users. Could also be an indicator of governance* and delivery on value proposition and mission.</t>
  </si>
  <si>
    <t>Mean rating of User* satisfaction with tickets closed by the commons* support team</t>
  </si>
  <si>
    <t>Indirect MEASUREMENT of ease of use for Users* (i.e. more tickets = less ease of use in some contexts), INDICATOR of human capacity to address tickets successfully.</t>
  </si>
  <si>
    <t>% of recommendations addressed by relevant project areas within 90 days</t>
  </si>
  <si>
    <t xml:space="preserve"> (i.e. reviewed, assessed --&gt; rejected, enacted)</t>
  </si>
  <si>
    <t>Human Capacity* &gt; Skills for planning, managing and assessing Service* delivery &gt; Assessing plans and deployments</t>
  </si>
  <si>
    <t>Direct MEASUREMENT of internal staff ability to respond to these requests, recommendations, and requirement, INDICATOR of success of assessment and upgrades of projects as well as internal personnel capacity to address them.</t>
  </si>
  <si>
    <t>Aggregate mean rating of impact for attendees from post training event surveys</t>
  </si>
  <si>
    <t>Engagement* &gt;  Training</t>
  </si>
  <si>
    <t>MEASUREMENT and INDICATOR of success of training engagement.</t>
  </si>
  <si>
    <t>Aggregate mean of stakeholder* and community* satisfaction regarding content and accessibility of external documentation</t>
  </si>
  <si>
    <t xml:space="preserve"> (e.g. User* guides)</t>
  </si>
  <si>
    <t>Task Group 2 Phase 1 Evaluation (October 2022 - April 2023)</t>
  </si>
  <si>
    <t>Human Capacity* &gt; Skill requirement for Users*, ease of use for Users* &gt; Document and make public the whole process for every process where feasible, maintain a high level of transparency and documentation with stakeholders* and the community*</t>
  </si>
  <si>
    <t>MEASUREMENT ease of use for users and INDICATOR of success of user-facing documentation</t>
  </si>
  <si>
    <t>Aggregate mean of internal staff satisfaction regarding content and accessibility of internal documentation</t>
  </si>
  <si>
    <t>(e.g. wiki)</t>
  </si>
  <si>
    <t>Human Capacity* &gt; Internal  Capacity &gt;Document and share the whole process for every internal, personnel-facing process, maintaining a high level of transparency and documentation for and between Internal Personnel*.</t>
  </si>
  <si>
    <t>MEASUREMENT of internal staff satisfaction with internal communication and ease of accessing information related to their duties, which is an INDICATOR of the development process for documentation and its accessibility to internal staff</t>
  </si>
  <si>
    <t>Aggregate mean of internal staff awareness of inclusion and equity within the commons*</t>
  </si>
  <si>
    <t>Human Capacity* &gt; Internal Capacity &gt; Mechanisms for enactment of EDII* commitment for Internal Personnel* and the commons* community*</t>
  </si>
  <si>
    <t>Direct MEASUREMENT of internal awareness of commons* EDII* policy, INDICATING the success of the implementation of the policy.</t>
  </si>
  <si>
    <t>Commons* infrastructure and technology</t>
  </si>
  <si>
    <t>Encapsulating KPIs*and metrics* related to the performance of Services* &amp; Tools*, ICT Infrastructure*, and Research Objects*</t>
  </si>
  <si>
    <t>The commons* services* are delivered in a reliable, secure, high-quality way, consistent with its specifications.</t>
  </si>
  <si>
    <t xml:space="preserve">Standards &gt; Standards and conventions supporting and describing mechanisms, infrastructure and plans for specific workflows, use cases, and types of interexchange within the commons	</t>
  </si>
  <si>
    <t>A moving target for consistently high value Services* being offered to the commons* community.</t>
  </si>
  <si>
    <t>The commons* is operated in a low-barrier and inclusive way, seeking integrations and connections with other Services* and championing principles of openness consistent with Open Science and Open Research.</t>
  </si>
  <si>
    <t xml:space="preserve">Standards &gt; Standards and conventions* for regulatory and ethical compliance &gt; Standards* for equitable access to information, resources, Services*, and Tools*        </t>
  </si>
  <si>
    <t>A goal for the commons* to deliver on implementation of their standards, especially those regarding open research, expand their partnerships and therefore Services* available, and ensure accessibility of their services.</t>
  </si>
  <si>
    <t>The commons* designs services* with a timeframe for the swift implementation, maintenance and sustainability of the Service* in mind and implements measures accordingly, considering the researchers’ need for reproducible research.</t>
  </si>
  <si>
    <t>2.7 Framework for assessing FAIR Services [2021, FAIRsFAIR] (https://zenodo.org/record/6656431#.ZEGmHnbMLIU)
Speaker Series (NeIC)</t>
  </si>
  <si>
    <t>Services*&amp; Tools* &gt; Service* and Tool* maintenance and Sustainability*.</t>
  </si>
  <si>
    <t xml:space="preserve">Goal to plan for the sustainability of a service, also related to Sustainability &gt; Suitable viable plan, schemes, and implementations for medium and long term stewardship, contextualization, usability, and accessibility of Research Objects*, Services* and Tools* </t>
  </si>
  <si>
    <t># of data spaces* that implement FAIR data management principles</t>
  </si>
  <si>
    <r>
      <rPr>
        <rFont val="Arial"/>
      </rPr>
      <t xml:space="preserve">Speaker Series - EOSC: https://eosc.eu/sites/default/files/2022-05/Monitoring%20Framework.pdf, from </t>
    </r>
    <r>
      <rPr>
        <rFont val="Arial"/>
        <color rgb="FF1155CC"/>
        <u/>
      </rPr>
      <t>https://eosc.eu/monitoring-reporting/</t>
    </r>
  </si>
  <si>
    <t>Interoperability* &gt; Technical Interoperability*</t>
  </si>
  <si>
    <t>MEASUREMENT of interconnected spaces that have all agreed to an Interoperability* commitment, INDICATOR of likely technical interoperability basis between spaces</t>
  </si>
  <si>
    <t>% of repos and Services* with a certification</t>
  </si>
  <si>
    <r>
      <rPr>
        <rFont val="Arial"/>
        <color rgb="FF1155CC"/>
        <u/>
      </rPr>
      <t xml:space="preserve">Task Group 5 Phase 1 Evaluation (October 2022 - April 2023), Speaker Series - EOSC: https://eosc.eu/sites/default/files/2022-05/Monitoring%20Framework.pdf, from </t>
    </r>
    <r>
      <rPr>
        <rFont val="Arial"/>
        <color rgb="FF1155CC"/>
        <u/>
      </rPr>
      <t>https://eosc.eu/monitoring-reporting/</t>
    </r>
  </si>
  <si>
    <t>MEASUREMENT of characteristic of Services* and Tools*, INDICATOR of uptake in certifications and potentially the quality of Services* and Tools* offered by or through the commons* and therefore fulling commons* operations specifications set by governance</t>
  </si>
  <si>
    <t># of interconnected repos and commons*</t>
  </si>
  <si>
    <t>Engagement* &gt; Engagement* with other research commons*, research infrastructure hosts, research institutions, and research funders</t>
  </si>
  <si>
    <t>MEASUREMENT of interconnected Services* and tools, INDICATOR of Engagement* with resource Providers* and the uptake of partnership with the commons*</t>
  </si>
  <si>
    <t>A measure or measures for software/application maintenance</t>
  </si>
  <si>
    <t>e.g. Date of latest software commit/update (e.g. on average) by external software developers; # of software commits/updates per month; Spread of software commits/updates over time (i.e. consistency); # of software/applications that have regular releases (&gt;1-2 updates per year) from the software Providers*)</t>
  </si>
  <si>
    <r>
      <rPr>
        <rFont val="Arial"/>
        <color rgb="FF1155CC"/>
        <u/>
      </rPr>
      <t xml:space="preserve">Random Encounter (Leah Wassler </t>
    </r>
    <r>
      <rPr>
        <rFont val="Arial"/>
        <color rgb="FF1155CC"/>
        <u/>
      </rPr>
      <t>https://nitter.net/LeahAWasser/status/1577730887818498049)</t>
    </r>
    <r>
      <rPr>
        <rFont val="Arial"/>
        <color rgb="FF1155CC"/>
        <u/>
      </rPr>
      <t>, Task Group 2 Phase 1 Evaluation (October 2022 - April 2023)</t>
    </r>
  </si>
  <si>
    <t>Standards* &amp; Conventions* &gt; Applications, Software, Services* &amp; Tools* standards and conventions, in addition to applicable Research Object* and Metadata* standards</t>
  </si>
  <si>
    <t>MEASUREMENT of User*/Provider* Engagement* with their software in the commons* collection* and/or measure of performance of commons* maintained software, INDICATOR of commons* community* and/or personnel adherence to standards for applications and software. Specifically for commons* supported software, could also be an indicator of Services* &amp; Tools* &gt; Service* and Tool* maintenance and Sustainability*</t>
  </si>
  <si>
    <t># of workstations acquired</t>
  </si>
  <si>
    <t>MEASUREMENT of ICT infrastructure* (i.e the physical workstations), INDICATOR of human capacity (workstations enable Internal Personnel* to do their tasks)</t>
  </si>
  <si>
    <t>% of equipment connected and operational</t>
  </si>
  <si>
    <t>ICT* &gt; Network, Compute, Storage</t>
  </si>
  <si>
    <t>MEASUREMENT of ICT infrastructure* (i.e equipment), INDICATOR of ICT Infrastructure*</t>
  </si>
  <si>
    <t>Completion or success rates for maintenance on ICT Infrastructure*</t>
  </si>
  <si>
    <t>such as # or % of development issues resolved, # or % of use issues addressed or responded to, # or % of use issues resolved, etc</t>
  </si>
  <si>
    <r>
      <rPr>
        <rFont val="Arial"/>
        <color rgb="FF1155CC"/>
        <u/>
      </rPr>
      <t xml:space="preserve">Task Group 3 Phase 1 Evaluation (October 2022 - April 2023), Random Encounter (Leah Wassler </t>
    </r>
    <r>
      <rPr>
        <rFont val="Arial"/>
        <color rgb="FF1155CC"/>
        <u/>
      </rPr>
      <t>https://nitter.net/LeahAWasser/status/1577730887818498049)</t>
    </r>
  </si>
  <si>
    <t>ICT* &gt; A review and update of ICT infrastructure* happens on a regular basis</t>
  </si>
  <si>
    <t>MEASUREMENT of internal staff ability to respond to and implement action plan to ICT* needs and issues, INDICATOR of improvements and development in ICT* infrastructure</t>
  </si>
  <si>
    <t># of operational and discoverable Services* (federated or non-federated) dedicated to end Users*</t>
  </si>
  <si>
    <r>
      <rPr>
        <rFont val="Arial"/>
        <color rgb="FF1155CC"/>
        <u/>
      </rPr>
      <t xml:space="preserve">Speaker Series - EOSC: https://eosc.eu/sites/default/files/2022-05/Monitoring%20Framework.pdf, from </t>
    </r>
    <r>
      <rPr>
        <rFont val="Arial"/>
        <color rgb="FF1155CC"/>
        <u/>
      </rPr>
      <t>https://eosc.eu/monitoring-reporting/</t>
    </r>
    <r>
      <rPr>
        <rFont val="Arial"/>
        <color rgb="FF1155CC"/>
        <u/>
      </rPr>
      <t>, XSEDE final report (https://www.ideals.illinois.edu/items/124108)</t>
    </r>
  </si>
  <si>
    <t>Services* and Tools* &gt; All</t>
  </si>
  <si>
    <t>Direct MEASUREMENT and INDICATOR of services* &amp; Tools*.</t>
  </si>
  <si>
    <t># of Services* and Tools* that the commons* has determined are essential are available or implemented.</t>
  </si>
  <si>
    <t>May be extended to two measurements: # of publicly available Services*, # of internal Services*</t>
  </si>
  <si>
    <t>Task Group 5 Phase 1 Evaluation (October 2022 - April 2023), Phase 1 Workshop (co-located with RDA P20, 24 March 2023)</t>
  </si>
  <si>
    <t>MEASUREMENT and INDICATOR of progression towards implementing all Services* and Tools* in the plan for a commons*</t>
  </si>
  <si>
    <t># of new Services* added per year.</t>
  </si>
  <si>
    <t>May be extended to two measurements: # of new publicly available Services*, # of new internal Services*</t>
  </si>
  <si>
    <t>A measure or measures for business benefit realization of projects, spanning ICT infrastructure*, services*, and tools*</t>
  </si>
  <si>
    <t>i.e. Benefit realisation is the work that is carried out in order to ensure that the expected benefit is really achieved after the project deliveries have taken place. The result of the expected benefit consists of benefit objects, which make the expected benefit measurable. Benefit objects can be money, time or quality. 
e.g. % of benefits realised on time</t>
  </si>
  <si>
    <t>Services* and Tools* &gt; All ; ICT* &gt; All</t>
  </si>
  <si>
    <t>MEASUREMENT of benefit outcomes from ICT*, services* and tools* and INDICATOR of their success</t>
  </si>
  <si>
    <t>Hours or % of downtime with direct User* impacts from unplanned incidents</t>
  </si>
  <si>
    <t>e.g. security incidents, network failing, framework failing</t>
  </si>
  <si>
    <t>ICT* &gt; AAI, Network, Compute, Storage</t>
  </si>
  <si>
    <t>MEASUREMENT and INDICATOR of AAI implementation and success</t>
  </si>
  <si>
    <t># of security incidents</t>
  </si>
  <si>
    <t>i.e. failing or breach of AAI framework, e.g. theft of data, credentials, etc.</t>
  </si>
  <si>
    <t>Random Encounter (SMD Data and Computing Architecture Study Workshop Series, TACC)</t>
  </si>
  <si>
    <t>ICT* &gt; AAI; Services* and Tools* &gt; AAI</t>
  </si>
  <si>
    <t>Total downtime # of hours or % of total time</t>
  </si>
  <si>
    <t>from both unplanned and planned incidents</t>
  </si>
  <si>
    <t>Task Group 3 Phase 1 Evaluation (October 2022 - April 2023), Random Encounter (SMD Data and Computing Architecture Study Workshop Series, TACC). Speaker Series (NeIC)</t>
  </si>
  <si>
    <t>Direct MEASUREMENT and INDICATOR of success of ICT Infrastructure*</t>
  </si>
  <si>
    <t>Stakeholder* Engagement* with technology and infrastructure</t>
  </si>
  <si>
    <t>Encapsulating KPIs*and metrics* related to stakeholder* Engagement* with Services* &amp; Tools*, ICT Infrastructure*, and Research Objects*</t>
  </si>
  <si>
    <t>Geographic coverage of ICT Infrastructure*, Services*, and Tools*</t>
  </si>
  <si>
    <t>e.g. # of provinces, states, counties, countries; # of universities and research institutions,  by infrastructure and Service* type e.g. discovery, deposit, access to compute</t>
  </si>
  <si>
    <r>
      <rPr>
        <rFont val="Arial"/>
        <color rgb="FF1155CC"/>
        <u/>
      </rPr>
      <t xml:space="preserve">Task Group 3 Phase 1 Evaluation (October 2022 - April 2023), Speaker Series - EOSC: https://eosc.eu/sites/default/files/2022-05/Monitoring%20Framework.pdf, from </t>
    </r>
    <r>
      <rPr>
        <rFont val="Arial"/>
        <color rgb="FF1155CC"/>
        <u/>
      </rPr>
      <t>https://eosc.eu/monitoring-reporting/</t>
    </r>
  </si>
  <si>
    <t>Engagement* / Services* &amp; Tools*</t>
  </si>
  <si>
    <t>Services* and Tools* &gt; All; Engagement* &gt; Active promotion to intended audiences to participate in the commons*, Incentivisation to intended audiences to participate in or with the Commons*</t>
  </si>
  <si>
    <t>MEASUREMENT of availability of ICT Infrastructure* and Services* and Tools* geographically, INDICATOR of successful Engagement* with commons* community* for geographic uptake</t>
  </si>
  <si>
    <t>% of research requests successful (i.e. not rejected), by Service*</t>
  </si>
  <si>
    <t>Services* and Tools* &gt; all ; Engagement* &gt; Incentivisation to intended audiences to participate in or with the Commons* ; Training and education hosted, provided, and/or contributed to by the commons* for individuals and groups in the commons* community*</t>
  </si>
  <si>
    <t>MEASUREMENT of successful instances of Services* and Tools*, INDICATOR of overall success of Services* and Tools* and engagement* with the commons* community* to use them as well as submitting appropriate requests, likely as a result of good training.</t>
  </si>
  <si>
    <t># of Service* units delivered through commons* ICT*infrastructure</t>
  </si>
  <si>
    <t>e.g. a single core used for 1 hour</t>
  </si>
  <si>
    <t>Services* &amp; Tools* &gt; All ; Engagement* &gt; Active promotion to intended audiences to participate in the commons*, Incentivisation to intended audiences to participate in or with the Commons*</t>
  </si>
  <si>
    <t>MEASUREMENT of activity through ICT infrastructure via Services* and tools, INDICATOR of successful Engagement* with commons* community* to lead to those requests and overall value fulfillment of Services* and Tools*.</t>
  </si>
  <si>
    <t>Average utilization of commons* computing infrastructure</t>
  </si>
  <si>
    <t>Services* &amp; Tools* &gt; Services* and Tools* for direct research tasks ; Engagement* &gt; Active promotion to intended audiences to participate in the commons*, Incentivisation to intended audiences to participate in or with the Commons*</t>
  </si>
  <si>
    <t>MEASUREMENT of activity through ICT infrastructure, INDICATOR of successful Engagement* with commons* community* to lead to those requests and overall value fulfillment of Services* and Tools*.</t>
  </si>
  <si>
    <t># of Compute jobs delivered, successfully delivered, and successfully completed</t>
  </si>
  <si>
    <t># or % of compute cycles spent on large jobs</t>
  </si>
  <si>
    <t>e.g. &gt;25,000 cores</t>
  </si>
  <si>
    <t># of jobs at half to full compute system scale</t>
  </si>
  <si>
    <t>% of compute jobs that are flex or used for backfill</t>
  </si>
  <si>
    <t>% of compute Service* units delivered that are flex or backfill jobs</t>
  </si>
  <si>
    <t>1 Service* unit = 1 compute node used for 1 hour of wallclock time</t>
  </si>
  <si>
    <t>% of compute jobs that are small jobs</t>
  </si>
  <si>
    <t>e.g. &lt;2 nodes</t>
  </si>
  <si>
    <t>% of compute cycles delivered that are for small jobs</t>
  </si>
  <si>
    <t>e.g. &lt; 2 nodes</t>
  </si>
  <si>
    <t># of projects used in the computing cloud platform*/infrastructure</t>
  </si>
  <si>
    <t>Service*-specific metrics*</t>
  </si>
  <si>
    <t>i.e. per service and tool,  typically breakdowns of higher level metrics*such as # of registered Users*, # of active Users* over a given period of time, amount of computing researchers per User* or per group, amount of storage resources per User* or per group</t>
  </si>
  <si>
    <t>A Set of Common Service Quality Assurance Baseline Criteria for Research Projects (https://digital.csic.es/handle/10261/214441)</t>
  </si>
  <si>
    <t>Services* and Tools* &gt; All ; Engagement* &gt; Active promotion to intended audiences to participate in the commons*, Incentivisation to intended audiences to participate in or with the Commons*</t>
  </si>
  <si>
    <t>MEASUREMENT of interactions with or characteristics of services* and tools*, INDICATOR of the Service* and/or successful Engagement* with the service depending on the situation.</t>
  </si>
  <si>
    <t>Total volume/size (e.g. GB. TB) of data uploaded or available</t>
  </si>
  <si>
    <t>Speaker Series - KISTI: during presentation, stated in the slides (https://www.rd-alliance.org/system/files/documents/KRDC_Introduction%28GORC%29%2820220728%2C09%2CSa-kwang%20Song%29.pdf --&gt; pg 2)</t>
  </si>
  <si>
    <t>Engagement* / Research Objects*</t>
  </si>
  <si>
    <t>Research Objects* &gt; all categories* ; Engagement* &gt; Active promotion to intended audiences to participate in the commons*, Incentivisation to intended audiences to participate in or with the Commons*</t>
  </si>
  <si>
    <t>MEASUREMENT of Research Objects*, INDICATOR of total volume of Research Objects* the commons* is responsible for and possible an indirect indicator of successful Engagement* with commons* community.</t>
  </si>
  <si>
    <t>Increase in research outputs over time per project</t>
  </si>
  <si>
    <t>i.e. Research Object* trends for each project or top performing projects by number of Publications*, datasets, software. Could be an absolute number or %</t>
  </si>
  <si>
    <t>Task Group 2 Phase 1 Evaluation (October 2022 - April 2023), OpenAire monitoring indicators (https://monitor.openaire.eu/indicators/funder)</t>
  </si>
  <si>
    <t>Direct MEASUREMENT of submissions to the commons* collections*, which is an INDICATOR of commons* holdings as well as Engagement* with the commons*.</t>
  </si>
  <si>
    <t># of registered DOIs</t>
  </si>
  <si>
    <t>If commons* provides the DOI registration service on deposit of research objects, this metric* should be considered as a performance metric* instead of engagement.</t>
  </si>
  <si>
    <t>Research Objects* &gt; all categories*  ;Engagement* &gt; Active promotion to intended audiences to participate in the commons* ; Incentivisation to intended audiences to participate in or with the Commons*</t>
  </si>
  <si>
    <t>MEASUREMENT  of Research Objects*, INDICATOR of uptake of DOI registration for Research Objects*. If commons* provides the DOI registration service on deposit of research objects, this metric* should be considered as a performance metric* instead of engagement.</t>
  </si>
  <si>
    <t>Rates (%) of preprint posting, in any preprint server before formal Publication*</t>
  </si>
  <si>
    <t>PLOS partners with DataSeer to develop Open Science Indicators [2022] (https://theplosblog.plos.org/2022/09/plos-partners-with-dataseer-to-develop-open-science-indicators/), Trends in preprint, data, and code sharing, 2019-2022 - The Official PLOS Blog [2023] (https://theplosblog.plos.org/2023/04/open-science-indicators/)</t>
  </si>
  <si>
    <t xml:space="preserve">Research Objects* &gt; Publications* and documentation; Engagement* &gt; Active promotion to intended audiences to participate in the commons* ; Incentivisation to intended audiences to participate in or with the Commons* </t>
  </si>
  <si>
    <t>MEASUREMENT of Research Objects*, INDICATOR of community* Engagement* with the commons*, success of promoting sharing of pre-prints as a form of open research</t>
  </si>
  <si>
    <t># of datasets investigated in unique User*-sessions</t>
  </si>
  <si>
    <r>
      <rPr>
        <rFont val="Arial"/>
      </rPr>
      <t xml:space="preserve">COUNTER Code of Practise: </t>
    </r>
    <r>
      <rPr>
        <rFont val="Arial"/>
        <color rgb="FF1155CC"/>
        <u/>
      </rPr>
      <t>https://www.projectcounter.org/code-of-practice-rd-sections/3-technical-specifications-reports/</t>
    </r>
  </si>
  <si>
    <t xml:space="preserve">Research Objects* &gt; research data*; Engagement* &gt; Active promotion to intended audiences to participate in the commons* ; Incentivisation to intended audiences to participate in or with the Commons* </t>
  </si>
  <si>
    <t>MEASUREMENT of dataset usage, could be an INDICATOR of the findability, accessibility, quality, etc. of datasets in the commons* and/or the successful Engagement* with the commons* community.</t>
  </si>
  <si>
    <t># and data volume (e.g. in GB) of Datasets requested in unique-User* sessions.</t>
  </si>
  <si>
    <t>COUNTER Code of Practise: https://www.projectcounter.org/code-of-practice-rd-sections/3-technical-specifications-reports/</t>
  </si>
  <si>
    <t>Average # of Research Object* download by year, theme, project, etc.</t>
  </si>
  <si>
    <t>OpenAire monitoring indicators (https://monitor.openaire.eu/indicators/funder)</t>
  </si>
  <si>
    <t># of Research Objects* which are cited by their PID*</t>
  </si>
  <si>
    <t xml:space="preserve">Research Objects* &gt; all categories* (anything with a PID*) ; Engagement* &gt; Active promotion to intended audiences to participate in the commons* ; Incentivisation to intended audiences to participate in or with the Commons* </t>
  </si>
  <si>
    <t>MEASUREMENT of research object citation, INDICATOR of  Engagement* with commons* community* to use Research Objects* and/or of proliferation of Research Objects*.</t>
  </si>
  <si>
    <t>Rates (%) of Research Object* sharing over time</t>
  </si>
  <si>
    <t>may be split by type (e.g. rates of data sharing over time, rates of code sharing over time, etc.)</t>
  </si>
  <si>
    <t xml:space="preserve">Research Objects* &gt; all categories*; Engagement* &gt;  Active promotion to intended audiences to participate in the commons* ; Incentivisation to intended audiences to participate in or with the Commons*      </t>
  </si>
  <si>
    <t>MEASUREMENT of Research Objects*, INDICATOR of community* Engagement* with the commons*, ease to share and success in promoting sharing of ROs</t>
  </si>
  <si>
    <t># of file uploads or total number of Research Objects* by type and trends over time.</t>
  </si>
  <si>
    <t>Speaker Series - IVOA: https://wiki.ivoa.net/twiki/bin/view/IVOA/WebStatistics, stated in slides for KISTI (https://www.rd-alliance.org/system/files/documents/KRDC_Introduction%28GORC%29%2820220728%2C09%2CSa-kwang%20Song%29.pdf) and NII</t>
  </si>
  <si>
    <t xml:space="preserve">Research Objects* &gt; all categories*; Engagement* &gt; Active promotion to intended audiences to participate in the commons* ; Incentivisation to intended audiences to participate in or with the Commons*    </t>
  </si>
  <si>
    <t>MEASUREMENT of Research Objects*, INDICATOR of community* Engagement* with the commons*, how appealing it is to register or store Research Objects* within the commons*</t>
  </si>
  <si>
    <t xml:space="preserve">Citation impact of individual Research Objects*, tailored to the type of Research Object* it is </t>
  </si>
  <si>
    <t>(e.g. I10 index for Publications*, # of citations and references per Research Object*</t>
  </si>
  <si>
    <r>
      <rPr>
        <rFont val="Arial"/>
      </rPr>
      <t xml:space="preserve">NIST RDaF: https://www.nist.gov/system/files/documents/2021/05/12/RDaF%20Preliminary%20Framework%20Core%2005-12-21_0.pdf, from </t>
    </r>
    <r>
      <rPr>
        <rFont val="Arial"/>
        <color rgb="FF1155CC"/>
        <u/>
      </rPr>
      <t>https://www.nist.gov/programs-projects/research-data-framework-rdaf</t>
    </r>
  </si>
  <si>
    <t>Engagement* &gt; Active promotion to intended audiences to participate in the commons* ; Incentivisation to intended audiences to participate in or with the Commons*; Research Objects* &gt; all categories</t>
  </si>
  <si>
    <t>MEASUREMENT of overall Research Object* citation impact, INDICATOR of how useful the Research Objects* themselves are within the commons* and the success of Engagement* with the commons* community* to encourage the citation of Research Objects*.</t>
  </si>
  <si>
    <t># or % in each level of open access for Research Objects* and associated Metadata*</t>
  </si>
  <si>
    <r>
      <rPr>
        <rFont val="Arial"/>
        <color rgb="FF1155CC"/>
        <u/>
      </rPr>
      <t xml:space="preserve">Task Group 3 Phase 1 Evaluation (October 2022 - April 2023), Speaker Series - EOSC: https://eosc.eu/sites/default/files/2022-05/Monitoring%20Framework.pdf, from </t>
    </r>
    <r>
      <rPr>
        <rFont val="Arial"/>
        <color rgb="FF1155CC"/>
        <u/>
      </rPr>
      <t>https://eosc.eu/monitoring-reporting/</t>
    </r>
  </si>
  <si>
    <t>Engagement* &gt; Training &gt; content (open science and open access) ; Research Objects* &gt; all categories</t>
  </si>
  <si>
    <t>MEASUREMENT of open access levels across Research Objects*, INDICATOR of User* and community* uptake in open access practises which may be a result, especially over time, of commons* training programs, and simultaneously of the openness of the commons* holdings</t>
  </si>
  <si>
    <t>Total Research Object* investigations and requests</t>
  </si>
  <si>
    <t xml:space="preserve"> i.e. the total number of times a Research Objects* or information related to the Research Object* was accessed or downloaded and the volume (e.g. MB) that was transferred.</t>
  </si>
  <si>
    <r>
      <rPr>
        <rFont val="Arial"/>
        <color rgb="FF1155CC"/>
        <u/>
      </rPr>
      <t xml:space="preserve">COUNTER Code of Practise: </t>
    </r>
    <r>
      <rPr>
        <rFont val="Arial"/>
        <color rgb="FF1155CC"/>
        <u/>
      </rPr>
      <t>https://www.projectcounter.org/code-of-practice-rd-sections/3-technical-specifications-reports/</t>
    </r>
  </si>
  <si>
    <t>Engagement* &gt; Active promotion to intended audiences to participate in the commons* ; Incentivisation to intended audiences to participate in or with the Commons* ; Research Objects* &gt; all</t>
  </si>
  <si>
    <t>MEASUREMENT of interaction with Research Objects*,INDICATOR of Engagement* with Research Objects* through the commons* platforms* and interface, how useful the commons* is in presenting the Research Objects*</t>
  </si>
  <si>
    <t># of Research Objects* of national significance supported by the commons*</t>
  </si>
  <si>
    <t>Speaker series (ARDC), Random Encounters (ICRI2022 presentation by Rosie Hicks)</t>
  </si>
  <si>
    <t>Engagement* &gt; Engagement* with other research commons*, research infrastructure hosts, research institutions, and research funders ; Active promotion to intended audiences to participate in the commons* ; Incentivisation to intended audiences to participate in or with the Commons* ; Research Objects* &gt; all</t>
  </si>
  <si>
    <t>MEASUREMENT of an aspect of the Research Objects*, INDICATOR of Engagement* with community* such that the holdings of the commons* are of high use and impact, active promotion to and incentivization of commons* community* to engage with the commons, as well as of the Research Objects* themselves.</t>
  </si>
  <si>
    <t># of cross-referenced Research Objects*</t>
  </si>
  <si>
    <t>e.g. data and Publications*, data and software, software and Publications*). Could expand to measure # of connections between Research Objects* and # of Research Object* connection types (data to pub, pub to software etc</t>
  </si>
  <si>
    <t>OpenAire monitoring indicators (https://monitor.openaire.eu/indicators/funder), Phase 1 Workshop (co-located with RDA P20, 24 March 2023)</t>
  </si>
  <si>
    <t>Services* and Tools* &gt; Services* and Tools* for direct research tasks &gt; Data collection and Research Object* Management Services* and Tools*   ; Engagement* &gt; Active promotion to intended audiences to participate in the commons* ; Incentivisation to intended audiences to participate in or with the Commons*</t>
  </si>
  <si>
    <t>MEASUREMENT of linking between directly related Research Objects*,INDICATOR the success of the interlinking Research Object* management Service* and provider Engagement* with that service</t>
  </si>
  <si>
    <t>% or # of datasets deposited in FAIR and open repos</t>
  </si>
  <si>
    <r>
      <rPr>
        <rFont val="Arial"/>
      </rPr>
      <t xml:space="preserve">Speaker Series - EOSC: https://eosc.eu/sites/default/files/2022-05/Monitoring%20Framework.pdf, from </t>
    </r>
    <r>
      <rPr>
        <rFont val="Arial"/>
        <color rgb="FF1155CC"/>
        <u/>
      </rPr>
      <t>https://eosc.eu/monitoring-reporting/</t>
    </r>
  </si>
  <si>
    <t>Services* &amp; Tools* &gt; Research Object* Repositories* ; Engagement* &gt; Active promotion to intended audiences to participate in the commons* ; Incentivisation to intended audiences to participate in or with the Commons*</t>
  </si>
  <si>
    <t>MEASUREMENT of a Research Object* characteristic (i.e. which repos they are in), INDICATOR of Engagement* with commons-supported research object repos which are FAIR and open, or of Engagement* with commons* community* to user FAIR and open repos even if not provided by the commons</t>
  </si>
</sst>
</file>

<file path=xl/styles.xml><?xml version="1.0" encoding="utf-8"?>
<styleSheet xmlns="http://schemas.openxmlformats.org/spreadsheetml/2006/main" xmlns:x14ac="http://schemas.microsoft.com/office/spreadsheetml/2009/9/ac" xmlns:mc="http://schemas.openxmlformats.org/markup-compatibility/2006">
  <fonts count="52">
    <font>
      <sz val="10.0"/>
      <color rgb="FF000000"/>
      <name val="Arial"/>
      <scheme val="minor"/>
    </font>
    <font>
      <b/>
      <u/>
      <color theme="1"/>
      <name val="Arial"/>
    </font>
    <font>
      <u/>
      <color rgb="FF0000FF"/>
      <name val="Arial"/>
    </font>
    <font>
      <b/>
      <color theme="1"/>
      <name val="Arial"/>
      <scheme val="minor"/>
    </font>
    <font>
      <color theme="1"/>
      <name val="Arial"/>
    </font>
    <font>
      <u/>
      <color rgb="FF0000FF"/>
      <name val="Arial"/>
    </font>
    <font>
      <b/>
      <u/>
      <color theme="1"/>
      <name val="Arial"/>
    </font>
    <font>
      <b/>
      <u/>
      <color theme="1"/>
      <name val="Arial"/>
    </font>
    <font>
      <u/>
      <color rgb="FF0000FF"/>
      <name val="Arial"/>
    </font>
    <font>
      <color rgb="FF1F1F1F"/>
      <name val="Arial"/>
    </font>
    <font>
      <b/>
      <u/>
      <color theme="1"/>
      <name val="Arial"/>
    </font>
    <font>
      <b/>
      <color theme="1"/>
      <name val="Arial"/>
    </font>
    <font/>
    <font>
      <color theme="1"/>
      <name val="Arial"/>
      <scheme val="minor"/>
    </font>
    <font>
      <u/>
      <color theme="1"/>
      <name val="Arial"/>
    </font>
    <font>
      <u/>
      <color rgb="FF0000FF"/>
      <name val="Arial"/>
    </font>
    <font>
      <u/>
      <color rgb="FF0000FF"/>
      <name val="Arial"/>
    </font>
    <font>
      <u/>
      <color rgb="FF1F1F1F"/>
      <name val="Arial"/>
    </font>
    <font>
      <color rgb="FF0000FF"/>
    </font>
    <font>
      <sz val="9.0"/>
      <color rgb="FF1F1F1F"/>
      <name val="&quot;Google Sans&quot;"/>
    </font>
    <font>
      <u/>
      <color rgb="FF0000FF"/>
    </font>
    <font>
      <color theme="1"/>
      <name val="Roboto"/>
    </font>
    <font>
      <color rgb="FF444746"/>
      <name val="Arial"/>
    </font>
    <font>
      <u/>
      <color rgb="FF0000FF"/>
      <name val="Roboto"/>
    </font>
    <font>
      <u/>
      <color rgb="FF0000FF"/>
      <name val="Arial"/>
    </font>
    <font>
      <u/>
      <color rgb="FF0000FF"/>
    </font>
    <font>
      <u/>
      <color rgb="FF1155CC"/>
      <name val="Arial"/>
    </font>
    <font>
      <u/>
      <color rgb="FF0000FF"/>
      <name val="Arial"/>
    </font>
    <font>
      <u/>
      <color rgb="FF1155CC"/>
      <name val="Arial"/>
    </font>
    <font>
      <sz val="10.0"/>
      <color rgb="FF000000"/>
      <name val="Arial"/>
    </font>
    <font>
      <u/>
      <color rgb="FF0000FF"/>
      <name val="Arial"/>
    </font>
    <font>
      <u/>
      <color rgb="FF1155CC"/>
      <name val="Arial"/>
    </font>
    <font>
      <u/>
      <color rgb="FF0000FF"/>
      <name val="Arial"/>
    </font>
    <font>
      <u/>
      <color rgb="FF0000FF"/>
      <name val="Arial"/>
    </font>
    <font>
      <u/>
      <color rgb="FF1155CC"/>
      <name val="Arial"/>
    </font>
    <font>
      <u/>
      <color rgb="FF0000FF"/>
    </font>
    <font>
      <u/>
      <color rgb="FF0000FF"/>
      <name val="Roboto"/>
    </font>
    <font>
      <color rgb="FF000000"/>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theme="1"/>
      <name val="Arial"/>
    </font>
    <font>
      <sz val="11.0"/>
      <color theme="1"/>
      <name val="Arial"/>
    </font>
    <font>
      <u/>
      <color rgb="FF1155CC"/>
      <name val="Arial"/>
    </font>
    <font>
      <u/>
      <color rgb="FF1155CC"/>
      <name val="Arial"/>
    </font>
    <font>
      <u/>
      <color rgb="FF0000FF"/>
      <name val="Arial"/>
    </font>
    <font>
      <u/>
      <color rgb="FF1155CC"/>
      <name val="Arial"/>
    </font>
    <font>
      <u/>
      <color rgb="FF1155CC"/>
      <name val="Arial"/>
    </font>
  </fonts>
  <fills count="9">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E3ECFB"/>
        <bgColor rgb="FFE3ECFB"/>
      </patternFill>
    </fill>
    <fill>
      <patternFill patternType="solid">
        <fgColor rgb="FFFFEDD9"/>
        <bgColor rgb="FFFFEDD9"/>
      </patternFill>
    </fill>
    <fill>
      <patternFill patternType="solid">
        <fgColor rgb="FFFFFEE2"/>
        <bgColor rgb="FFFFFEE2"/>
      </patternFill>
    </fill>
    <fill>
      <patternFill patternType="solid">
        <fgColor rgb="FFD9D2E9"/>
        <bgColor rgb="FFD9D2E9"/>
      </patternFill>
    </fill>
    <fill>
      <patternFill patternType="solid">
        <fgColor rgb="FFEAD1DC"/>
        <bgColor rgb="FFEAD1DC"/>
      </patternFill>
    </fill>
  </fills>
  <borders count="24">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double">
        <color rgb="FF000000"/>
      </left>
      <top style="double">
        <color rgb="FF000000"/>
      </top>
    </border>
    <border>
      <right style="double">
        <color rgb="FF000000"/>
      </right>
      <top style="double">
        <color rgb="FF000000"/>
      </top>
    </border>
    <border>
      <top style="thick">
        <color rgb="FF000000"/>
      </top>
    </border>
    <border>
      <top style="thin">
        <color rgb="FF000000"/>
      </top>
      <bottom style="thick">
        <color rgb="FF000000"/>
      </bottom>
    </border>
    <border>
      <bottom style="thin">
        <color rgb="FFB7B7B7"/>
      </bottom>
    </border>
    <border>
      <left style="medium">
        <color rgb="FF000000"/>
      </left>
      <right style="medium">
        <color rgb="FF000000"/>
      </right>
      <top style="medium">
        <color rgb="FF000000"/>
      </top>
      <bottom style="medium">
        <color rgb="FF000000"/>
      </bottom>
    </border>
    <border>
      <left style="double">
        <color rgb="FF000000"/>
      </left>
      <top style="double">
        <color rgb="FF000000"/>
      </top>
      <bottom style="double">
        <color rgb="FF000000"/>
      </bottom>
    </border>
    <border>
      <top style="double">
        <color rgb="FF000000"/>
      </top>
      <bottom style="double">
        <color rgb="FF000000"/>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2" fillId="0" fontId="2" numFmtId="0" xfId="0" applyAlignment="1" applyBorder="1" applyFont="1">
      <alignment readingOrder="0" shrinkToFit="0" vertical="bottom" wrapText="1"/>
    </xf>
    <xf borderId="0" fillId="0" fontId="3" numFmtId="0" xfId="0" applyAlignment="1" applyFont="1">
      <alignment readingOrder="0" shrinkToFit="0" wrapText="1"/>
    </xf>
    <xf borderId="3" fillId="0" fontId="4" numFmtId="0" xfId="0" applyAlignment="1" applyBorder="1" applyFont="1">
      <alignment vertical="bottom"/>
    </xf>
    <xf borderId="4" fillId="0" fontId="5" numFmtId="0" xfId="0" applyAlignment="1" applyBorder="1" applyFont="1">
      <alignment readingOrder="0" shrinkToFit="0" vertical="bottom" wrapText="1"/>
    </xf>
    <xf borderId="0" fillId="0" fontId="6" numFmtId="0" xfId="0" applyAlignment="1" applyFont="1">
      <alignment shrinkToFit="0" vertical="bottom" wrapText="1"/>
    </xf>
    <xf borderId="2" fillId="0" fontId="7" numFmtId="0" xfId="0" applyAlignment="1" applyBorder="1" applyFont="1">
      <alignment shrinkToFit="0" vertical="bottom" wrapText="1"/>
    </xf>
    <xf borderId="3" fillId="0" fontId="8" numFmtId="0" xfId="0" applyAlignment="1" applyBorder="1" applyFont="1">
      <alignment readingOrder="0" shrinkToFit="0" vertical="bottom" wrapText="1"/>
    </xf>
    <xf borderId="4" fillId="2" fontId="9" numFmtId="0" xfId="0" applyAlignment="1" applyBorder="1" applyFill="1" applyFont="1">
      <alignment readingOrder="0" shrinkToFit="0" vertical="bottom" wrapText="1"/>
    </xf>
    <xf borderId="0" fillId="0" fontId="4" numFmtId="0" xfId="0" applyAlignment="1" applyFont="1">
      <alignment vertical="bottom"/>
    </xf>
    <xf borderId="2" fillId="0" fontId="10" numFmtId="0" xfId="0" applyAlignment="1" applyBorder="1" applyFont="1">
      <alignment vertical="bottom"/>
    </xf>
    <xf borderId="5" fillId="0" fontId="11" numFmtId="0" xfId="0" applyAlignment="1" applyBorder="1" applyFont="1">
      <alignment horizontal="center" shrinkToFit="0" vertical="center" wrapText="1"/>
    </xf>
    <xf borderId="6" fillId="0" fontId="12" numFmtId="0" xfId="0" applyBorder="1" applyFont="1"/>
    <xf borderId="7" fillId="0" fontId="12" numFmtId="0" xfId="0" applyBorder="1" applyFont="1"/>
    <xf borderId="8" fillId="0" fontId="11" numFmtId="0" xfId="0" applyAlignment="1" applyBorder="1" applyFont="1">
      <alignment shrinkToFit="0" vertical="center" wrapText="1"/>
    </xf>
    <xf borderId="9" fillId="3" fontId="11" numFmtId="0" xfId="0" applyAlignment="1" applyBorder="1" applyFill="1" applyFont="1">
      <alignment shrinkToFit="0" vertical="center" wrapText="1"/>
    </xf>
    <xf borderId="1" fillId="0" fontId="3" numFmtId="0" xfId="0" applyAlignment="1" applyBorder="1" applyFont="1">
      <alignment readingOrder="0" shrinkToFit="0" vertical="center" wrapText="1"/>
    </xf>
    <xf borderId="10" fillId="0" fontId="3" numFmtId="0" xfId="0" applyAlignment="1" applyBorder="1" applyFont="1">
      <alignment readingOrder="0" shrinkToFit="0" vertical="center" wrapText="1"/>
    </xf>
    <xf borderId="11" fillId="0" fontId="3" numFmtId="0" xfId="0" applyAlignment="1" applyBorder="1" applyFont="1">
      <alignment readingOrder="0" shrinkToFit="0" vertical="center" wrapText="1"/>
    </xf>
    <xf borderId="12" fillId="0" fontId="11" numFmtId="0" xfId="0" applyAlignment="1" applyBorder="1" applyFont="1">
      <alignment readingOrder="0" shrinkToFit="0" vertical="center" wrapText="1"/>
    </xf>
    <xf borderId="13" fillId="0" fontId="11" numFmtId="0" xfId="0" applyAlignment="1" applyBorder="1" applyFont="1">
      <alignment shrinkToFit="0" vertical="center" wrapText="1"/>
    </xf>
    <xf borderId="12" fillId="0" fontId="4" numFmtId="0" xfId="0" applyAlignment="1" applyBorder="1" applyFont="1">
      <alignment vertical="bottom"/>
    </xf>
    <xf borderId="14" fillId="0" fontId="4" numFmtId="0" xfId="0" applyAlignment="1" applyBorder="1" applyFont="1">
      <alignment readingOrder="0" shrinkToFit="0" vertical="center" wrapText="1"/>
    </xf>
    <xf borderId="14" fillId="3" fontId="4" numFmtId="0" xfId="0" applyAlignment="1" applyBorder="1" applyFont="1">
      <alignment horizontal="right" shrinkToFit="0" vertical="center" wrapText="1"/>
    </xf>
    <xf borderId="1" fillId="0" fontId="13" numFmtId="0" xfId="0" applyBorder="1" applyFont="1"/>
    <xf borderId="10" fillId="0" fontId="13" numFmtId="0" xfId="0" applyBorder="1" applyFont="1"/>
    <xf borderId="11" fillId="0" fontId="13" numFmtId="0" xfId="0" applyBorder="1" applyFont="1"/>
    <xf borderId="0" fillId="0" fontId="4" numFmtId="0" xfId="0" applyAlignment="1" applyFont="1">
      <alignment horizontal="right" readingOrder="0" shrinkToFit="0" vertical="center" wrapText="1"/>
    </xf>
    <xf borderId="15" fillId="0" fontId="4" numFmtId="0" xfId="0" applyAlignment="1" applyBorder="1" applyFont="1">
      <alignment readingOrder="0" shrinkToFit="0" vertical="center" wrapText="1"/>
    </xf>
    <xf borderId="14" fillId="0" fontId="4" numFmtId="0" xfId="0" applyAlignment="1" applyBorder="1" applyFont="1">
      <alignment shrinkToFit="0" vertical="center" wrapText="1"/>
    </xf>
    <xf borderId="14" fillId="0" fontId="13" numFmtId="0" xfId="0" applyBorder="1" applyFont="1"/>
    <xf borderId="0" fillId="0" fontId="13" numFmtId="0" xfId="0" applyFont="1"/>
    <xf borderId="15" fillId="0" fontId="13" numFmtId="0" xfId="0" applyBorder="1" applyFont="1"/>
    <xf borderId="0" fillId="0" fontId="4" numFmtId="0" xfId="0" applyAlignment="1" applyFont="1">
      <alignment horizontal="right" shrinkToFit="0" vertical="center" wrapText="1"/>
    </xf>
    <xf borderId="15" fillId="0" fontId="4" numFmtId="0" xfId="0" applyAlignment="1" applyBorder="1" applyFont="1">
      <alignment horizontal="right" readingOrder="0" shrinkToFit="0" vertical="center" wrapText="1"/>
    </xf>
    <xf borderId="0" fillId="0" fontId="14" numFmtId="0" xfId="0" applyAlignment="1" applyFont="1">
      <alignment readingOrder="0" vertical="bottom"/>
    </xf>
    <xf borderId="15" fillId="0" fontId="4" numFmtId="0" xfId="0" applyAlignment="1" applyBorder="1" applyFont="1">
      <alignment horizontal="right" shrinkToFit="0" vertical="center" wrapText="1"/>
    </xf>
    <xf borderId="0" fillId="0" fontId="15" numFmtId="0" xfId="0" applyAlignment="1" applyFont="1">
      <alignment readingOrder="0" shrinkToFit="0" vertical="bottom" wrapText="1"/>
    </xf>
    <xf borderId="0" fillId="0" fontId="16" numFmtId="0" xfId="0" applyAlignment="1" applyFont="1">
      <alignment readingOrder="0" vertical="bottom"/>
    </xf>
    <xf borderId="0" fillId="0" fontId="4" numFmtId="0" xfId="0" applyAlignment="1" applyFont="1">
      <alignment readingOrder="0"/>
    </xf>
    <xf borderId="14" fillId="0" fontId="4" numFmtId="0" xfId="0" applyAlignment="1" applyBorder="1" applyFont="1">
      <alignment shrinkToFit="0" wrapText="1"/>
    </xf>
    <xf borderId="14" fillId="3" fontId="4" numFmtId="0" xfId="0" applyAlignment="1" applyBorder="1" applyFont="1">
      <alignment horizontal="right" shrinkToFit="0" wrapText="1"/>
    </xf>
    <xf borderId="0" fillId="0" fontId="4" numFmtId="0" xfId="0" applyAlignment="1" applyFont="1">
      <alignment horizontal="right" shrinkToFit="0" wrapText="1"/>
    </xf>
    <xf borderId="15" fillId="0" fontId="4" numFmtId="0" xfId="0" applyAlignment="1" applyBorder="1" applyFont="1">
      <alignment horizontal="right" shrinkToFit="0" wrapText="1"/>
    </xf>
    <xf borderId="8" fillId="0" fontId="4" numFmtId="0" xfId="0" applyAlignment="1" applyBorder="1" applyFont="1">
      <alignment readingOrder="0" shrinkToFit="0" vertical="center" wrapText="1"/>
    </xf>
    <xf borderId="12" fillId="0" fontId="4" numFmtId="0" xfId="0" applyAlignment="1" applyBorder="1" applyFont="1">
      <alignment horizontal="right" shrinkToFit="0" vertical="center" wrapText="1"/>
    </xf>
    <xf borderId="13" fillId="0" fontId="4" numFmtId="0" xfId="0" applyAlignment="1" applyBorder="1" applyFont="1">
      <alignment horizontal="right" shrinkToFit="0" vertical="center" wrapText="1"/>
    </xf>
    <xf borderId="0" fillId="2" fontId="17" numFmtId="0" xfId="0" applyAlignment="1" applyFont="1">
      <alignment readingOrder="0" vertical="bottom"/>
    </xf>
    <xf borderId="8" fillId="0" fontId="4" numFmtId="0" xfId="0" applyAlignment="1" applyBorder="1" applyFont="1">
      <alignment shrinkToFit="0" vertical="center" wrapText="1"/>
    </xf>
    <xf borderId="5" fillId="3" fontId="11" numFmtId="0" xfId="0" applyAlignment="1" applyBorder="1" applyFont="1">
      <alignment horizontal="right" shrinkToFit="0" vertical="center" wrapText="1"/>
    </xf>
    <xf borderId="1" fillId="0" fontId="3" numFmtId="0" xfId="0" applyBorder="1" applyFont="1"/>
    <xf borderId="10" fillId="0" fontId="3" numFmtId="0" xfId="0" applyBorder="1" applyFont="1"/>
    <xf borderId="11" fillId="0" fontId="3" numFmtId="0" xfId="0" applyBorder="1" applyFont="1"/>
    <xf borderId="12" fillId="0" fontId="11" numFmtId="0" xfId="0" applyAlignment="1" applyBorder="1" applyFont="1">
      <alignment horizontal="right" shrinkToFit="0" vertical="center" wrapText="1"/>
    </xf>
    <xf borderId="13" fillId="0" fontId="11" numFmtId="0" xfId="0" applyAlignment="1" applyBorder="1" applyFont="1">
      <alignment horizontal="right" shrinkToFit="0" vertical="center" wrapText="1"/>
    </xf>
    <xf borderId="0" fillId="0" fontId="13" numFmtId="0" xfId="0" applyAlignment="1" applyFont="1">
      <alignment readingOrder="0"/>
    </xf>
    <xf borderId="8" fillId="3" fontId="4" numFmtId="0" xfId="0" applyAlignment="1" applyBorder="1" applyFont="1">
      <alignment horizontal="right" readingOrder="0" shrinkToFit="0" vertical="center" wrapText="1"/>
    </xf>
    <xf borderId="5" fillId="0" fontId="13" numFmtId="0" xfId="0" applyBorder="1" applyFont="1"/>
    <xf borderId="6" fillId="0" fontId="13" numFmtId="0" xfId="0" applyBorder="1" applyFont="1"/>
    <xf borderId="7" fillId="0" fontId="13" numFmtId="0" xfId="0" applyBorder="1" applyFont="1"/>
    <xf borderId="0" fillId="0" fontId="4" numFmtId="0" xfId="0" applyAlignment="1" applyFont="1">
      <alignment shrinkToFit="0" vertical="center" wrapText="1"/>
    </xf>
    <xf borderId="0" fillId="0" fontId="18" numFmtId="0" xfId="0" applyAlignment="1" applyFont="1">
      <alignment readingOrder="0" shrinkToFit="0" wrapText="1"/>
    </xf>
    <xf borderId="4" fillId="3" fontId="4" numFmtId="0" xfId="0" applyAlignment="1" applyBorder="1" applyFont="1">
      <alignment horizontal="right" shrinkToFit="0" vertical="center" wrapText="1"/>
    </xf>
    <xf borderId="5" fillId="0" fontId="13" numFmtId="0" xfId="0" applyAlignment="1" applyBorder="1" applyFont="1">
      <alignment vertical="center"/>
    </xf>
    <xf borderId="6" fillId="0" fontId="13" numFmtId="0" xfId="0" applyAlignment="1" applyBorder="1" applyFont="1">
      <alignment vertical="center"/>
    </xf>
    <xf borderId="7" fillId="0" fontId="13" numFmtId="0" xfId="0" applyAlignment="1" applyBorder="1" applyFont="1">
      <alignment vertical="center"/>
    </xf>
    <xf borderId="0" fillId="0" fontId="13" numFmtId="0" xfId="0" applyAlignment="1" applyFont="1">
      <alignment readingOrder="0" shrinkToFit="0" wrapText="1"/>
    </xf>
    <xf borderId="0" fillId="0" fontId="3" numFmtId="0" xfId="0" applyAlignment="1" applyFont="1">
      <alignment readingOrder="0" shrinkToFit="0" vertical="center" wrapText="0"/>
    </xf>
    <xf borderId="0" fillId="0" fontId="19" numFmtId="0" xfId="0" applyAlignment="1" applyFont="1">
      <alignment readingOrder="0"/>
    </xf>
    <xf borderId="0" fillId="0" fontId="13" numFmtId="0" xfId="0" applyAlignment="1" applyFont="1">
      <alignment readingOrder="0" shrinkToFit="0" vertical="center" wrapText="0"/>
    </xf>
    <xf borderId="12" fillId="0" fontId="13" numFmtId="0" xfId="0" applyAlignment="1" applyBorder="1" applyFont="1">
      <alignment readingOrder="0" shrinkToFit="0" vertical="center" wrapText="1"/>
    </xf>
    <xf borderId="0" fillId="0" fontId="13" numFmtId="0" xfId="0" applyAlignment="1" applyFont="1">
      <alignment readingOrder="0" shrinkToFit="0" vertical="center" wrapText="1"/>
    </xf>
    <xf borderId="0" fillId="0" fontId="13" numFmtId="0" xfId="0" applyAlignment="1" applyFont="1">
      <alignment shrinkToFit="0" vertical="center" wrapText="1"/>
    </xf>
    <xf borderId="0" fillId="0" fontId="20" numFmtId="0" xfId="0" applyAlignment="1" applyFont="1">
      <alignment readingOrder="0" shrinkToFit="0" vertical="center" wrapText="1"/>
    </xf>
    <xf borderId="0" fillId="0" fontId="11" numFmtId="0" xfId="0" applyAlignment="1" applyFont="1">
      <alignment readingOrder="0" shrinkToFit="0" vertical="center" wrapText="1"/>
    </xf>
    <xf borderId="16" fillId="0" fontId="4" numFmtId="0" xfId="0" applyAlignment="1" applyBorder="1" applyFont="1">
      <alignment horizontal="center" shrinkToFit="0" vertical="center" wrapText="1"/>
    </xf>
    <xf borderId="17" fillId="0" fontId="4" numFmtId="0" xfId="0" applyAlignment="1" applyBorder="1" applyFont="1">
      <alignment horizontal="center" shrinkToFit="0" vertical="center" wrapText="1"/>
    </xf>
    <xf borderId="5" fillId="0" fontId="4" numFmtId="0" xfId="0" applyAlignment="1" applyBorder="1" applyFont="1">
      <alignment readingOrder="0" shrinkToFit="0" vertical="center" wrapText="1"/>
    </xf>
    <xf borderId="6" fillId="0" fontId="4" numFmtId="0" xfId="0" applyAlignment="1" applyBorder="1" applyFont="1">
      <alignment readingOrder="0" shrinkToFit="0" vertical="center" wrapText="1"/>
    </xf>
    <xf borderId="6" fillId="0" fontId="4" numFmtId="0" xfId="0" applyAlignment="1" applyBorder="1" applyFont="1">
      <alignment shrinkToFit="0" vertical="center" wrapText="1"/>
    </xf>
    <xf borderId="0" fillId="4" fontId="13" numFmtId="0" xfId="0" applyAlignment="1" applyFill="1" applyFont="1">
      <alignment readingOrder="0" shrinkToFit="0" vertical="top" wrapText="1"/>
    </xf>
    <xf borderId="0" fillId="4" fontId="4" numFmtId="0" xfId="0" applyAlignment="1" applyFont="1">
      <alignment shrinkToFit="0" vertical="center" wrapText="1"/>
    </xf>
    <xf borderId="0" fillId="4" fontId="13" numFmtId="0" xfId="0" applyAlignment="1" applyFont="1">
      <alignment readingOrder="0"/>
    </xf>
    <xf borderId="0" fillId="4" fontId="4" numFmtId="0" xfId="0" applyAlignment="1" applyFont="1">
      <alignment readingOrder="0" shrinkToFit="0" vertical="center" wrapText="1"/>
    </xf>
    <xf borderId="0" fillId="4" fontId="21" numFmtId="0" xfId="0" applyAlignment="1" applyFont="1">
      <alignment readingOrder="0" shrinkToFit="0" vertical="center" wrapText="1"/>
    </xf>
    <xf borderId="0" fillId="5" fontId="4" numFmtId="0" xfId="0" applyAlignment="1" applyFill="1" applyFont="1">
      <alignment shrinkToFit="0" vertical="center" wrapText="1"/>
    </xf>
    <xf borderId="0" fillId="5" fontId="13" numFmtId="0" xfId="0" applyAlignment="1" applyFont="1">
      <alignment readingOrder="0"/>
    </xf>
    <xf borderId="0" fillId="5" fontId="4" numFmtId="0" xfId="0" applyAlignment="1" applyFont="1">
      <alignment readingOrder="0" shrinkToFit="0" vertical="center" wrapText="1"/>
    </xf>
    <xf borderId="0" fillId="5" fontId="21" numFmtId="0" xfId="0" applyAlignment="1" applyFont="1">
      <alignment readingOrder="0" shrinkToFit="0" vertical="center" wrapText="1"/>
    </xf>
    <xf borderId="0" fillId="5" fontId="21" numFmtId="0" xfId="0" applyAlignment="1" applyFont="1">
      <alignment shrinkToFit="0" vertical="center" wrapText="1"/>
    </xf>
    <xf borderId="0" fillId="5" fontId="13" numFmtId="0" xfId="0" applyAlignment="1" applyFont="1">
      <alignment readingOrder="0" shrinkToFit="0" vertical="center" wrapText="1"/>
    </xf>
    <xf borderId="0" fillId="4" fontId="4" numFmtId="0" xfId="0" applyAlignment="1" applyFont="1">
      <alignment readingOrder="0" shrinkToFit="0" vertical="top" wrapText="1"/>
    </xf>
    <xf borderId="0" fillId="4" fontId="13" numFmtId="0" xfId="0" applyAlignment="1" applyFont="1">
      <alignment shrinkToFit="0" vertical="center" wrapText="1"/>
    </xf>
    <xf borderId="10" fillId="4" fontId="4" numFmtId="0" xfId="0" applyAlignment="1" applyBorder="1" applyFont="1">
      <alignment readingOrder="0" shrinkToFit="0" vertical="center" wrapText="1"/>
    </xf>
    <xf borderId="0" fillId="4" fontId="13" numFmtId="0" xfId="0" applyAlignment="1" applyFont="1">
      <alignment readingOrder="0" shrinkToFit="0" vertical="center" wrapText="1"/>
    </xf>
    <xf borderId="10" fillId="4" fontId="22" numFmtId="0" xfId="0" applyAlignment="1" applyBorder="1" applyFont="1">
      <alignment readingOrder="0" shrinkToFit="0" vertical="center" wrapText="1"/>
    </xf>
    <xf borderId="0" fillId="6" fontId="4" numFmtId="0" xfId="0" applyAlignment="1" applyFill="1" applyFont="1">
      <alignment readingOrder="0" shrinkToFit="0" vertical="center" wrapText="1"/>
    </xf>
    <xf borderId="0" fillId="6" fontId="13" numFmtId="0" xfId="0" applyAlignment="1" applyFont="1">
      <alignment readingOrder="0" shrinkToFit="0" vertical="center" wrapText="1"/>
    </xf>
    <xf borderId="0" fillId="6" fontId="4" numFmtId="0" xfId="0" applyAlignment="1" applyFont="1">
      <alignment shrinkToFit="0" vertical="center" wrapText="1"/>
    </xf>
    <xf borderId="0" fillId="6" fontId="13" numFmtId="0" xfId="0" applyAlignment="1" applyFont="1">
      <alignment readingOrder="0"/>
    </xf>
    <xf borderId="0" fillId="6" fontId="21" numFmtId="0" xfId="0" applyAlignment="1" applyFont="1">
      <alignment readingOrder="0" shrinkToFit="0" vertical="center" wrapText="1"/>
    </xf>
    <xf borderId="0" fillId="6" fontId="21" numFmtId="0" xfId="0" applyAlignment="1" applyFont="1">
      <alignment shrinkToFit="0" vertical="center" wrapText="1"/>
    </xf>
    <xf borderId="0" fillId="5" fontId="4" numFmtId="0" xfId="0" applyAlignment="1" applyFont="1">
      <alignment shrinkToFit="0" vertical="center" wrapText="1"/>
    </xf>
    <xf borderId="0" fillId="7" fontId="13" numFmtId="0" xfId="0" applyAlignment="1" applyFill="1" applyFont="1">
      <alignment readingOrder="0" shrinkToFit="0" vertical="center" wrapText="1"/>
    </xf>
    <xf borderId="0" fillId="7" fontId="4" numFmtId="0" xfId="0" applyAlignment="1" applyFont="1">
      <alignment shrinkToFit="0" vertical="center" wrapText="1"/>
    </xf>
    <xf borderId="0" fillId="7" fontId="4" numFmtId="0" xfId="0" applyAlignment="1" applyFont="1">
      <alignment readingOrder="0" shrinkToFit="0" vertical="center" wrapText="1"/>
    </xf>
    <xf borderId="0" fillId="7" fontId="4" numFmtId="0" xfId="0" applyAlignment="1" applyFont="1">
      <alignment shrinkToFit="0" vertical="center" wrapText="1"/>
    </xf>
    <xf borderId="0" fillId="7" fontId="13" numFmtId="0" xfId="0" applyAlignment="1" applyFont="1">
      <alignment readingOrder="0" shrinkToFit="0" wrapText="1"/>
    </xf>
    <xf borderId="0" fillId="4" fontId="4" numFmtId="0" xfId="0" applyAlignment="1" applyFont="1">
      <alignment shrinkToFit="0" vertical="center" wrapText="1"/>
    </xf>
    <xf borderId="0" fillId="5" fontId="23" numFmtId="0" xfId="0" applyAlignment="1" applyFont="1">
      <alignment readingOrder="0" shrinkToFit="0" vertical="center" wrapText="1"/>
    </xf>
    <xf borderId="0" fillId="6" fontId="24" numFmtId="0" xfId="0" applyAlignment="1" applyFont="1">
      <alignment readingOrder="0" shrinkToFit="0" vertical="center" wrapText="1"/>
    </xf>
    <xf borderId="0" fillId="5" fontId="13" numFmtId="0" xfId="0" applyAlignment="1" applyFont="1">
      <alignment readingOrder="0" shrinkToFit="0" wrapText="1"/>
    </xf>
    <xf borderId="0" fillId="6" fontId="25" numFmtId="0" xfId="0" applyAlignment="1" applyFont="1">
      <alignment readingOrder="0" shrinkToFit="0" vertical="center" wrapText="1"/>
    </xf>
    <xf borderId="0" fillId="5" fontId="26" numFmtId="0" xfId="0" applyAlignment="1" applyFont="1">
      <alignment readingOrder="0" shrinkToFit="0" vertical="center" wrapText="1"/>
    </xf>
    <xf borderId="0" fillId="5" fontId="27" numFmtId="0" xfId="0" applyAlignment="1" applyFont="1">
      <alignment readingOrder="0" shrinkToFit="0" vertical="center" wrapText="0"/>
    </xf>
    <xf borderId="0" fillId="5" fontId="28" numFmtId="0" xfId="0" applyAlignment="1" applyFont="1">
      <alignment shrinkToFit="0" vertical="center" wrapText="1"/>
    </xf>
    <xf borderId="0" fillId="7" fontId="29" numFmtId="0" xfId="0" applyAlignment="1" applyFont="1">
      <alignment horizontal="left" readingOrder="0" shrinkToFit="0" vertical="center" wrapText="1"/>
    </xf>
    <xf borderId="0" fillId="7" fontId="30" numFmtId="0" xfId="0" applyAlignment="1" applyFont="1">
      <alignment readingOrder="0" shrinkToFit="0" vertical="center" wrapText="1"/>
    </xf>
    <xf borderId="0" fillId="7" fontId="31" numFmtId="0" xfId="0" applyAlignment="1" applyFont="1">
      <alignment readingOrder="0" shrinkToFit="0" vertical="center" wrapText="1"/>
    </xf>
    <xf borderId="1" fillId="0" fontId="4" numFmtId="0" xfId="0" applyAlignment="1" applyBorder="1" applyFont="1">
      <alignment readingOrder="0" shrinkToFit="0" vertical="center" wrapText="1"/>
    </xf>
    <xf borderId="10" fillId="0" fontId="4" numFmtId="0" xfId="0" applyAlignment="1" applyBorder="1" applyFont="1">
      <alignment readingOrder="0" shrinkToFit="0" vertical="center" wrapText="1"/>
    </xf>
    <xf borderId="10" fillId="0" fontId="4" numFmtId="0" xfId="0" applyAlignment="1" applyBorder="1" applyFont="1">
      <alignment shrinkToFit="0" vertical="center" wrapText="1"/>
    </xf>
    <xf borderId="18" fillId="4" fontId="4" numFmtId="0" xfId="0" applyAlignment="1" applyBorder="1" applyFont="1">
      <alignment readingOrder="0" shrinkToFit="0" vertical="center" wrapText="1"/>
    </xf>
    <xf borderId="18" fillId="0" fontId="12" numFmtId="0" xfId="0" applyBorder="1" applyFont="1"/>
    <xf borderId="10" fillId="4" fontId="4" numFmtId="0" xfId="0" applyAlignment="1" applyBorder="1" applyFont="1">
      <alignment shrinkToFit="0" vertical="center" wrapText="1"/>
    </xf>
    <xf borderId="0" fillId="6" fontId="4" numFmtId="0" xfId="0" applyAlignment="1" applyFont="1">
      <alignment shrinkToFit="0" vertical="center" wrapText="1"/>
    </xf>
    <xf borderId="19" fillId="0" fontId="4" numFmtId="0" xfId="0" applyAlignment="1" applyBorder="1" applyFont="1">
      <alignment readingOrder="0" shrinkToFit="0" vertical="center" wrapText="1"/>
    </xf>
    <xf borderId="18" fillId="0" fontId="4" numFmtId="0" xfId="0" applyAlignment="1" applyBorder="1" applyFont="1">
      <alignment shrinkToFit="0" vertical="center" wrapText="1"/>
    </xf>
    <xf borderId="10" fillId="5" fontId="4" numFmtId="0" xfId="0" applyAlignment="1" applyBorder="1" applyFont="1">
      <alignment readingOrder="0" shrinkToFit="0" vertical="center" wrapText="1"/>
    </xf>
    <xf borderId="10" fillId="5" fontId="4" numFmtId="0" xfId="0" applyAlignment="1" applyBorder="1" applyFont="1">
      <alignment shrinkToFit="0" vertical="center" wrapText="1"/>
    </xf>
    <xf borderId="0" fillId="0" fontId="4" numFmtId="0" xfId="0" applyAlignment="1" applyFont="1">
      <alignment shrinkToFit="0" vertical="center" wrapText="1"/>
    </xf>
    <xf borderId="0" fillId="6" fontId="9" numFmtId="0" xfId="0" applyAlignment="1" applyFont="1">
      <alignment readingOrder="0" shrinkToFit="0" vertical="center" wrapText="1"/>
    </xf>
    <xf borderId="0" fillId="5" fontId="32" numFmtId="0" xfId="0" applyAlignment="1" applyFont="1">
      <alignment readingOrder="0" shrinkToFit="0" vertical="center" wrapText="1"/>
    </xf>
    <xf borderId="0" fillId="4" fontId="9" numFmtId="0" xfId="0" applyAlignment="1" applyFont="1">
      <alignment shrinkToFit="0" vertical="center" wrapText="1"/>
    </xf>
    <xf borderId="0" fillId="7" fontId="9" numFmtId="0" xfId="0" applyAlignment="1" applyFont="1">
      <alignment readingOrder="0" shrinkToFit="0" vertical="center" wrapText="1"/>
    </xf>
    <xf borderId="0" fillId="7" fontId="13" numFmtId="0" xfId="0" applyAlignment="1" applyFont="1">
      <alignment readingOrder="0"/>
    </xf>
    <xf borderId="0" fillId="7" fontId="33" numFmtId="0" xfId="0" applyAlignment="1" applyFont="1">
      <alignment shrinkToFit="0" vertical="center" wrapText="1"/>
    </xf>
    <xf borderId="0" fillId="6" fontId="34" numFmtId="0" xfId="0" applyAlignment="1" applyFont="1">
      <alignment readingOrder="0" shrinkToFit="0" vertical="center" wrapText="1"/>
    </xf>
    <xf borderId="0" fillId="5" fontId="35" numFmtId="0" xfId="0" applyAlignment="1" applyFont="1">
      <alignment readingOrder="0" shrinkToFit="0" vertical="center" wrapText="1"/>
    </xf>
    <xf borderId="0" fillId="5" fontId="36" numFmtId="0" xfId="0" applyAlignment="1" applyFont="1">
      <alignment shrinkToFit="0" vertical="center" wrapText="1"/>
    </xf>
    <xf borderId="0" fillId="5" fontId="13" numFmtId="0" xfId="0" applyAlignment="1" applyFont="1">
      <alignment shrinkToFit="0" vertical="center" wrapText="1"/>
    </xf>
    <xf borderId="0" fillId="6" fontId="13" numFmtId="0" xfId="0" applyAlignment="1" applyFont="1">
      <alignment shrinkToFit="0" vertical="center" wrapText="1"/>
    </xf>
    <xf borderId="0" fillId="0" fontId="4" numFmtId="0" xfId="0" applyAlignment="1" applyFont="1">
      <alignment readingOrder="0" shrinkToFit="0" vertical="center" wrapText="1"/>
    </xf>
    <xf borderId="0" fillId="5" fontId="4" numFmtId="0" xfId="0" applyAlignment="1" applyFont="1">
      <alignment readingOrder="0" shrinkToFit="0" vertical="center" wrapText="1"/>
    </xf>
    <xf borderId="0" fillId="4" fontId="4" numFmtId="0" xfId="0" applyAlignment="1" applyFont="1">
      <alignment readingOrder="0" shrinkToFit="0" vertical="center" wrapText="1"/>
    </xf>
    <xf borderId="0" fillId="4" fontId="37" numFmtId="0" xfId="0" applyAlignment="1" applyFont="1">
      <alignment horizontal="left" readingOrder="0" vertical="center"/>
    </xf>
    <xf borderId="0" fillId="0" fontId="4" numFmtId="0" xfId="0" applyAlignment="1" applyFont="1">
      <alignment readingOrder="0" shrinkToFit="0" vertical="center" wrapText="1"/>
    </xf>
    <xf borderId="0" fillId="4" fontId="29" numFmtId="0" xfId="0" applyAlignment="1" applyFont="1">
      <alignment horizontal="left" readingOrder="0" shrinkToFit="0" vertical="center" wrapText="1"/>
    </xf>
    <xf borderId="0" fillId="4" fontId="38" numFmtId="0" xfId="0" applyAlignment="1" applyFont="1">
      <alignment readingOrder="0" shrinkToFit="0" vertical="center" wrapText="1"/>
    </xf>
    <xf borderId="0" fillId="7" fontId="4" numFmtId="0" xfId="0" applyAlignment="1" applyFont="1">
      <alignment readingOrder="0" shrinkToFit="0" vertical="center" wrapText="1"/>
    </xf>
    <xf borderId="10" fillId="0" fontId="4" numFmtId="0" xfId="0" applyAlignment="1" applyBorder="1" applyFont="1">
      <alignment shrinkToFit="0" vertical="center" wrapText="1"/>
    </xf>
    <xf borderId="10" fillId="0" fontId="12" numFmtId="0" xfId="0" applyBorder="1" applyFont="1"/>
    <xf borderId="10" fillId="5" fontId="21" numFmtId="0" xfId="0" applyAlignment="1" applyBorder="1" applyFont="1">
      <alignment readingOrder="0" shrinkToFit="0" vertical="center" wrapText="1"/>
    </xf>
    <xf borderId="10" fillId="5" fontId="39" numFmtId="0" xfId="0" applyAlignment="1" applyBorder="1" applyFont="1">
      <alignment readingOrder="0" shrinkToFit="0" vertical="center" wrapText="1"/>
    </xf>
    <xf borderId="0" fillId="6" fontId="40" numFmtId="0" xfId="0" applyAlignment="1" applyFont="1">
      <alignment readingOrder="0" shrinkToFit="0" vertical="center" wrapText="1"/>
    </xf>
    <xf borderId="20" fillId="5" fontId="4" numFmtId="0" xfId="0" applyAlignment="1" applyBorder="1" applyFont="1">
      <alignment readingOrder="0" shrinkToFit="0" vertical="center" wrapText="1"/>
    </xf>
    <xf borderId="0" fillId="5" fontId="41" numFmtId="0" xfId="0" applyAlignment="1" applyFont="1">
      <alignment readingOrder="0" shrinkToFit="0" vertical="center" wrapText="1"/>
    </xf>
    <xf borderId="0" fillId="5" fontId="29" numFmtId="0" xfId="0" applyAlignment="1" applyFont="1">
      <alignment horizontal="left" readingOrder="0" shrinkToFit="0" wrapText="1"/>
    </xf>
    <xf borderId="0" fillId="7" fontId="42" numFmtId="0" xfId="0" applyAlignment="1" applyFont="1">
      <alignment readingOrder="0" shrinkToFit="0" vertical="center" wrapText="1"/>
    </xf>
    <xf borderId="0" fillId="4" fontId="43" numFmtId="0" xfId="0" applyAlignment="1" applyFont="1">
      <alignment readingOrder="0" shrinkToFit="0" vertical="center" wrapText="1"/>
    </xf>
    <xf borderId="0" fillId="4" fontId="21" numFmtId="0" xfId="0" applyAlignment="1" applyFont="1">
      <alignment shrinkToFit="0" vertical="center" wrapText="1"/>
    </xf>
    <xf borderId="0" fillId="6" fontId="44" numFmtId="0" xfId="0" applyAlignment="1" applyFont="1">
      <alignment shrinkToFit="0" vertical="center" wrapText="1"/>
    </xf>
    <xf borderId="0" fillId="4" fontId="29" numFmtId="0" xfId="0" applyAlignment="1" applyFont="1">
      <alignment horizontal="left" readingOrder="0" shrinkToFit="0" wrapText="1"/>
    </xf>
    <xf borderId="0" fillId="4" fontId="13" numFmtId="0" xfId="0" applyAlignment="1" applyFont="1">
      <alignment readingOrder="0" shrinkToFit="0" wrapText="1"/>
    </xf>
    <xf borderId="0" fillId="5" fontId="45" numFmtId="0" xfId="0" applyAlignment="1" applyFont="1">
      <alignment readingOrder="0" shrinkToFit="0" vertical="center" wrapText="1"/>
    </xf>
    <xf borderId="0" fillId="7" fontId="21" numFmtId="0" xfId="0" applyAlignment="1" applyFont="1">
      <alignment readingOrder="0" shrinkToFit="0" vertical="center" wrapText="1"/>
    </xf>
    <xf borderId="21" fillId="0" fontId="11" numFmtId="0" xfId="0" applyAlignment="1" applyBorder="1" applyFont="1">
      <alignment readingOrder="0" shrinkToFit="0" vertical="center" wrapText="1"/>
    </xf>
    <xf borderId="22" fillId="0" fontId="4" numFmtId="0" xfId="0" applyAlignment="1" applyBorder="1" applyFont="1">
      <alignment horizontal="right" readingOrder="0" shrinkToFit="0" vertical="center" wrapText="1"/>
    </xf>
    <xf borderId="23" fillId="0" fontId="4" numFmtId="0" xfId="0" applyAlignment="1" applyBorder="1" applyFont="1">
      <alignment horizontal="left" shrinkToFit="0" vertical="center" wrapText="1"/>
    </xf>
    <xf borderId="15" fillId="0" fontId="12" numFmtId="0" xfId="0" applyBorder="1" applyFont="1"/>
    <xf borderId="0" fillId="8" fontId="4" numFmtId="0" xfId="0" applyAlignment="1" applyFill="1" applyFont="1">
      <alignment readingOrder="0" shrinkToFit="0" vertical="top" wrapText="1"/>
    </xf>
    <xf borderId="0" fillId="8" fontId="13" numFmtId="0" xfId="0" applyFont="1"/>
    <xf borderId="0" fillId="8" fontId="4" numFmtId="0" xfId="0" applyAlignment="1" applyFont="1">
      <alignment readingOrder="0" shrinkToFit="0" vertical="center" wrapText="1"/>
    </xf>
    <xf borderId="14" fillId="8" fontId="4" numFmtId="0" xfId="0" applyAlignment="1" applyBorder="1" applyFont="1">
      <alignment readingOrder="0" shrinkToFit="0" vertical="center" wrapText="1"/>
    </xf>
    <xf borderId="15" fillId="8" fontId="4" numFmtId="0" xfId="0" applyAlignment="1" applyBorder="1" applyFont="1">
      <alignment readingOrder="0" shrinkToFit="0" vertical="center" wrapText="1"/>
    </xf>
    <xf borderId="0" fillId="0" fontId="13" numFmtId="0" xfId="0" applyAlignment="1" applyFont="1">
      <alignment readingOrder="0" vertical="center"/>
    </xf>
    <xf borderId="0" fillId="0" fontId="46" numFmtId="0" xfId="0" applyAlignment="1" applyFont="1">
      <alignment readingOrder="0" shrinkToFit="0" vertical="center" wrapText="1"/>
    </xf>
    <xf borderId="0" fillId="2" fontId="37" numFmtId="0" xfId="0" applyAlignment="1" applyFont="1">
      <alignment horizontal="left" readingOrder="0" shrinkToFit="0" vertical="center" wrapText="1"/>
    </xf>
    <xf borderId="0" fillId="0" fontId="47" numFmtId="0" xfId="0" applyAlignment="1" applyFont="1">
      <alignment readingOrder="0" shrinkToFit="0" vertical="center" wrapText="1"/>
    </xf>
    <xf borderId="0" fillId="0" fontId="48" numFmtId="0" xfId="0" applyAlignment="1" applyFont="1">
      <alignment horizontal="left" readingOrder="0" shrinkToFit="0" wrapText="1"/>
    </xf>
    <xf borderId="0" fillId="0" fontId="21" numFmtId="0" xfId="0" applyAlignment="1" applyFont="1">
      <alignment readingOrder="0" shrinkToFit="0" vertical="center" wrapText="1"/>
    </xf>
    <xf borderId="0" fillId="8" fontId="13" numFmtId="0" xfId="0" applyAlignment="1" applyFont="1">
      <alignment readingOrder="0" shrinkToFit="0" wrapText="1"/>
    </xf>
    <xf borderId="0" fillId="0" fontId="49" numFmtId="0" xfId="0" applyAlignment="1" applyFont="1">
      <alignment readingOrder="0" shrinkToFit="0" vertical="center" wrapText="1"/>
    </xf>
    <xf borderId="0" fillId="0" fontId="4" numFmtId="0" xfId="0" applyFont="1"/>
    <xf borderId="0" fillId="0" fontId="4" numFmtId="0" xfId="0" applyAlignment="1" applyFont="1">
      <alignment readingOrder="0"/>
    </xf>
    <xf borderId="15" fillId="0" fontId="4" numFmtId="0" xfId="0" applyAlignment="1" applyBorder="1" applyFont="1">
      <alignment shrinkToFit="0" wrapText="1"/>
    </xf>
    <xf borderId="0" fillId="0" fontId="4" numFmtId="0" xfId="0" applyAlignment="1" applyFont="1">
      <alignment readingOrder="0" shrinkToFit="0" wrapText="1"/>
    </xf>
    <xf borderId="15" fillId="0" fontId="4" numFmtId="0" xfId="0" applyAlignment="1" applyBorder="1" applyFont="1">
      <alignment shrinkToFit="0" wrapText="1"/>
    </xf>
    <xf borderId="0" fillId="0" fontId="4" numFmtId="0" xfId="0" applyAlignment="1" applyFont="1">
      <alignment shrinkToFit="0" wrapText="1"/>
    </xf>
    <xf borderId="0" fillId="8" fontId="13" numFmtId="0" xfId="0" applyAlignment="1" applyFont="1">
      <alignment readingOrder="0"/>
    </xf>
    <xf borderId="0" fillId="0" fontId="4" numFmtId="0" xfId="0" applyAlignment="1" applyFont="1">
      <alignment readingOrder="0" shrinkToFit="0" vertical="center" wrapText="1"/>
    </xf>
    <xf borderId="0" fillId="0" fontId="50" numFmtId="0" xfId="0" applyAlignment="1" applyFont="1">
      <alignment readingOrder="0" shrinkToFit="0" vertical="center" wrapText="1"/>
    </xf>
    <xf borderId="0" fillId="0" fontId="51" numFmtId="0" xfId="0" applyAlignment="1" applyFont="1">
      <alignment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microsoft.com/office/2007/relationships/slicerCache" Target="slicerCaches/slicerCache1.xml"/><Relationship Id="rId16" Type="http://schemas.openxmlformats.org/officeDocument/2006/relationships/worksheet" Target="worksheets/sheet1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18</xdr:row>
      <xdr:rowOff>133350</xdr:rowOff>
    </xdr:from>
    <xdr:ext cx="1666875" cy="581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2390775</xdr:colOff>
      <xdr:row>0</xdr:row>
      <xdr:rowOff>0</xdr:rowOff>
    </xdr:from>
    <xdr:ext cx="2752725" cy="2857500"/>
    <mc:AlternateContent>
      <mc:Choice Requires="sle15">
        <xdr:graphicFrame>
          <xdr:nvGraphicFramePr>
            <xdr:cNvPr id="1" name="Consideration Level*_1"/>
            <xdr:cNvGraphicFramePr/>
          </xdr:nvGraphicFramePr>
          <xdr:xfrm>
            <a:off x="0" y="0"/>
            <a:ext cx="0" cy="0"/>
          </xdr:xfrm>
          <a:graphic>
            <a:graphicData uri="http://schemas.microsoft.com/office/drawing/2010/slicer">
              <x3Unk:slicer name="Consideration Level*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nsideration Level*">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sideration Level*_1" cache="SlicerCache_Table_1_Col_1" caption="Consideration Level*" rowHeight="247650"/>
</x14:slicers>
</file>

<file path=xl/tables/table1.xml><?xml version="1.0" encoding="utf-8"?>
<table xmlns="http://schemas.openxmlformats.org/spreadsheetml/2006/main" ref="E2:E111" displayName="Table_1" name="Table_1" id="1">
  <autoFilter ref="$E$2:$E$111"/>
  <tableColumns count="1">
    <tableColumn name="Consideration Level*" id="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rd-alliance.org/groups/gorc-international-model-wg" TargetMode="External"/><Relationship Id="rId2" Type="http://schemas.openxmlformats.org/officeDocument/2006/relationships/hyperlink" Target="https://docs.google.com/spreadsheets/d/1GLmyczP5Ez32HRK_1DV9H4owlhac8QWdh6SVarKoJKE/edit?usp=sharing" TargetMode="External"/><Relationship Id="rId3" Type="http://schemas.openxmlformats.org/officeDocument/2006/relationships/hyperlink" Target="https://docs.google.com/presentation/d/1EzM1wfRzsDhbwzbSwF0vlmy0cOR9yGvoww9vRoN5q_Q/edit?usp=sharing" TargetMode="External"/><Relationship Id="rId4" Type="http://schemas.openxmlformats.org/officeDocument/2006/relationships/hyperlink" Target="https://docs.google.com/spreadsheets/d/1OyfiV414O4zITFQVLl9uc0Pg9d_9yjpZU4Pk7vYRkQc/edit?usp=sharing" TargetMode="External"/><Relationship Id="rId11" Type="http://schemas.openxmlformats.org/officeDocument/2006/relationships/drawing" Target="../drawings/drawing1.xml"/><Relationship Id="rId10" Type="http://schemas.openxmlformats.org/officeDocument/2006/relationships/hyperlink" Target="https://doi.org/10.15497/RDA00119" TargetMode="External"/><Relationship Id="rId9" Type="http://schemas.openxmlformats.org/officeDocument/2006/relationships/hyperlink" Target="https://creativecommons.org/licenses/by/4.0/" TargetMode="External"/><Relationship Id="rId5" Type="http://schemas.openxmlformats.org/officeDocument/2006/relationships/hyperlink" Target="https://docs.google.com/document/d/1IWqOHQOBuKsd7bkgq6TtyXzLLcgSqLk13w65DRswW5Q/edit?usp=sharing" TargetMode="External"/><Relationship Id="rId6" Type="http://schemas.openxmlformats.org/officeDocument/2006/relationships/hyperlink" Target="https://docs.google.com/document/d/1AifZXDLMCZu08aMxwAgKXAmRS6zcgLiyZthHNCEOv_I/edit?usp=sharing" TargetMode="External"/><Relationship Id="rId7" Type="http://schemas.openxmlformats.org/officeDocument/2006/relationships/hyperlink" Target="https://doi.org/10.15497/RDA00087" TargetMode="External"/><Relationship Id="rId8" Type="http://schemas.openxmlformats.org/officeDocument/2006/relationships/hyperlink" Target="https://docs.google.com/spreadsheets/d/1GLmyczP5Ez32HRK_1DV9H4owlhac8QWdh6SVarKoJKE/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016/j.procs.2014.06.008"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rd-alliance.org/sites/default/files/GORC%20International%20Model%20WG_%20Case%20Statement%20V4%20July%202021.pdf" TargetMode="External"/><Relationship Id="rId3" Type="http://schemas.openxmlformats.org/officeDocument/2006/relationships/hyperlink" Target="https://eosc.eu/key-performance-indicators-KPIs*-monitoring" TargetMode="External"/><Relationship Id="rId4" Type="http://schemas.openxmlformats.org/officeDocument/2006/relationships/hyperlink" Target="https://diataxis.fr/" TargetMode="External"/><Relationship Id="rId11" Type="http://schemas.openxmlformats.org/officeDocument/2006/relationships/vmlDrawing" Target="../drawings/vmlDrawing1.vml"/><Relationship Id="rId10" Type="http://schemas.openxmlformats.org/officeDocument/2006/relationships/drawing" Target="../drawings/drawing3.xml"/><Relationship Id="rId9" Type="http://schemas.openxmlformats.org/officeDocument/2006/relationships/hyperlink" Target="https://www.nist.gov/programs-projects/research-data-framework-rdaf" TargetMode="External"/><Relationship Id="rId5" Type="http://schemas.openxmlformats.org/officeDocument/2006/relationships/hyperlink" Target="https://www.go-fair.org/fair-principles/" TargetMode="External"/><Relationship Id="rId6" Type="http://schemas.openxmlformats.org/officeDocument/2006/relationships/hyperlink" Target="https://www.gida-global.org/care." TargetMode="External"/><Relationship Id="rId7" Type="http://schemas.openxmlformats.org/officeDocument/2006/relationships/hyperlink" Target="https://www.rd-alliance.org/rda-community-effort-trust-principles-digital-repositories" TargetMode="External"/><Relationship Id="rId8" Type="http://schemas.openxmlformats.org/officeDocument/2006/relationships/hyperlink" Target="https://diataxis.fr/"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ata.research.cornell.edu/data-management/sharing/intellectual-property/" TargetMode="External"/><Relationship Id="rId3" Type="http://schemas.openxmlformats.org/officeDocument/2006/relationships/hyperlink" Target="https://www.rd-alliance.org/sites/default/files/GORC%20International%20Model%20WG_%20Case%20Statement%20V4%20July%202021.pdf" TargetMode="External"/><Relationship Id="rId4" Type="http://schemas.openxmlformats.org/officeDocument/2006/relationships/hyperlink" Target="https://opendatacommons.org/" TargetMode="External"/><Relationship Id="rId5" Type="http://schemas.openxmlformats.org/officeDocument/2006/relationships/drawing" Target="../drawings/drawing4.xml"/><Relationship Id="rId6"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nitter.net/LeahAWasser/status/1577730887818498049)" TargetMode="External"/><Relationship Id="rId3" Type="http://schemas.openxmlformats.org/officeDocument/2006/relationships/hyperlink" Target="https://nitter.net/LeahAWasser/status/1577730887818498049)" TargetMode="External"/><Relationship Id="rId4" Type="http://schemas.openxmlformats.org/officeDocument/2006/relationships/hyperlink" Target="https://apropos.erudit.org/2021-2022-annual-report/?lang=en" TargetMode="External"/><Relationship Id="rId5" Type="http://schemas.openxmlformats.org/officeDocument/2006/relationships/hyperlink" Target="https://apropos.erudit.org/2021-2022-annual-report/?lang=en" TargetMode="External"/><Relationship Id="rId6" Type="http://schemas.openxmlformats.org/officeDocument/2006/relationships/drawing" Target="../drawings/drawing6.xml"/><Relationship Id="rId7"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1" Type="http://schemas.openxmlformats.org/officeDocument/2006/relationships/hyperlink" Target="https://docs.google.com/document/d/1VTA-rFhSn6dceNZpp0Nq3mRRUoAjYMPaqQtEW-ls9Qs/edit)" TargetMode="External"/><Relationship Id="rId10" Type="http://schemas.openxmlformats.org/officeDocument/2006/relationships/hyperlink" Target="https://diataxis.fr/" TargetMode="External"/><Relationship Id="rId13" Type="http://schemas.openxmlformats.org/officeDocument/2006/relationships/drawing" Target="../drawings/drawing7.xml"/><Relationship Id="rId12" Type="http://schemas.openxmlformats.org/officeDocument/2006/relationships/hyperlink" Target="https://docs.google.com/document/d/1VTA-rFhSn6dceNZpp0Nq3mRRUoAjYMPaqQtEW-ls9Qs/edit)" TargetMode="External"/><Relationship Id="rId1" Type="http://schemas.openxmlformats.org/officeDocument/2006/relationships/comments" Target="../comments4.xml"/><Relationship Id="rId2" Type="http://schemas.openxmlformats.org/officeDocument/2006/relationships/hyperlink" Target="https://wiki.eoscfuture.eu/display/PUBLIC/B.+v4.00+EOSC+Resource+Profile" TargetMode="External"/><Relationship Id="rId3" Type="http://schemas.openxmlformats.org/officeDocument/2006/relationships/hyperlink" Target="https://zenodo.org/record/4683794" TargetMode="External"/><Relationship Id="rId4" Type="http://schemas.openxmlformats.org/officeDocument/2006/relationships/hyperlink" Target="https://zenodo.org/record/4683794" TargetMode="External"/><Relationship Id="rId9" Type="http://schemas.openxmlformats.org/officeDocument/2006/relationships/hyperlink" Target="https://wiki.eoscfuture.eu/display/PUBLIC/B.+v4.00+EOSC+Resource+Profile" TargetMode="External"/><Relationship Id="rId14" Type="http://schemas.openxmlformats.org/officeDocument/2006/relationships/vmlDrawing" Target="../drawings/vmlDrawing4.vml"/><Relationship Id="rId5" Type="http://schemas.openxmlformats.org/officeDocument/2006/relationships/hyperlink" Target="https://diataxis.fr/" TargetMode="External"/><Relationship Id="rId6" Type="http://schemas.openxmlformats.org/officeDocument/2006/relationships/hyperlink" Target="https://nitter.net/LeahAWasser/status/1577730887818498049)" TargetMode="External"/><Relationship Id="rId7" Type="http://schemas.openxmlformats.org/officeDocument/2006/relationships/hyperlink" Target="https://www.nist.gov/programs-projects/research-data-framework-rdaf" TargetMode="External"/><Relationship Id="rId8" Type="http://schemas.openxmlformats.org/officeDocument/2006/relationships/hyperlink" Target="https://www.nist.gov/programs-projects/research-data-framework-rdaf" TargetMode="Ex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1" Type="http://schemas.openxmlformats.org/officeDocument/2006/relationships/vmlDrawing" Target="../drawings/vmlDrawing7.vml"/><Relationship Id="rId10" Type="http://schemas.openxmlformats.org/officeDocument/2006/relationships/drawing" Target="../drawings/drawing10.xml"/><Relationship Id="rId1" Type="http://schemas.openxmlformats.org/officeDocument/2006/relationships/comments" Target="../comments7.xml"/><Relationship Id="rId2" Type="http://schemas.openxmlformats.org/officeDocument/2006/relationships/hyperlink" Target="https://wiki.eoscfuture.eu/display/PUBLIC/B.+v4.00+EOSC+Resource+Profile" TargetMode="External"/><Relationship Id="rId3" Type="http://schemas.openxmlformats.org/officeDocument/2006/relationships/hyperlink" Target="https://wiki.eoscfuture.eu/display/PUBLIC/B.+v4.00+EOSC+Resource+Profile" TargetMode="External"/><Relationship Id="rId4" Type="http://schemas.openxmlformats.org/officeDocument/2006/relationships/hyperlink" Target="https://wiki.eoscfuture.eu/display/PUBLIC/B.+v4.00+EOSC+Resource+Profile" TargetMode="External"/><Relationship Id="rId9" Type="http://schemas.openxmlformats.org/officeDocument/2006/relationships/hyperlink" Target="https://wiki.eoscfuture.eu/display/PUBLIC/B.+v4.00+EOSC+Resource+Profile" TargetMode="External"/><Relationship Id="rId5" Type="http://schemas.openxmlformats.org/officeDocument/2006/relationships/hyperlink" Target="https://wiki.eoscfuture.eu/display/PUBLIC/B.+v4.00+EOSC+Resource+Profile" TargetMode="External"/><Relationship Id="rId6" Type="http://schemas.openxmlformats.org/officeDocument/2006/relationships/hyperlink" Target="https://wiki.eoscfuture.eu/display/PUBLIC/B.+v4.00+EOSC+Resource+Profile" TargetMode="External"/><Relationship Id="rId7" Type="http://schemas.openxmlformats.org/officeDocument/2006/relationships/hyperlink" Target="https://wiki.eoscfuture.eu/display/PUBLIC/B.+v4.00+EOSC+Resource+Profile" TargetMode="External"/><Relationship Id="rId8" Type="http://schemas.openxmlformats.org/officeDocument/2006/relationships/hyperlink" Target="https://wiki.eoscfuture.eu/display/PUBLIC/B.+v4.00+EOSC+Resource+Profile"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digital.csic.es/handle/10261/214441" TargetMode="External"/><Relationship Id="rId20" Type="http://schemas.openxmlformats.org/officeDocument/2006/relationships/hyperlink" Target="https://wiki.eoscfuture.eu/display/PUBLIC/B.+v4.00+EOSC+Resource+Profile" TargetMode="External"/><Relationship Id="rId42" Type="http://schemas.openxmlformats.org/officeDocument/2006/relationships/hyperlink" Target="https://wiki.eoscfuture.eu/display/PUBLIC/B.+v4.00+EOSC+Resource+Profile" TargetMode="External"/><Relationship Id="rId41" Type="http://schemas.openxmlformats.org/officeDocument/2006/relationships/hyperlink" Target="https://www.rd-alliance.org/sites/default/files/recommendation-jan-2017-v8_0.pdf" TargetMode="External"/><Relationship Id="rId22" Type="http://schemas.openxmlformats.org/officeDocument/2006/relationships/hyperlink" Target="https://wiki.eoscfuture.eu/display/PUBLIC/B.+v4.00+EOSC+Resource+Profile" TargetMode="External"/><Relationship Id="rId44" Type="http://schemas.openxmlformats.org/officeDocument/2006/relationships/hyperlink" Target="https://wiki.eoscfuture.eu/display/PUBLIC/B.+v4.00+EOSC+Resource+Profile" TargetMode="External"/><Relationship Id="rId21" Type="http://schemas.openxmlformats.org/officeDocument/2006/relationships/hyperlink" Target="https://wiki.eoscfuture.eu/display/PUBLIC/B.+v4.00+EOSC+Resource+Profile" TargetMode="External"/><Relationship Id="rId43" Type="http://schemas.openxmlformats.org/officeDocument/2006/relationships/hyperlink" Target="https://wiki.eoscfuture.eu/display/PUBLIC/B.+v4.00+EOSC+Resource+Profile" TargetMode="External"/><Relationship Id="rId24" Type="http://schemas.openxmlformats.org/officeDocument/2006/relationships/hyperlink" Target="https://wiki.eoscfuture.eu/display/PUBLIC/B.+v4.00+EOSC+Resource+Profile" TargetMode="External"/><Relationship Id="rId46" Type="http://schemas.openxmlformats.org/officeDocument/2006/relationships/vmlDrawing" Target="../drawings/vmlDrawing8.vml"/><Relationship Id="rId23" Type="http://schemas.openxmlformats.org/officeDocument/2006/relationships/hyperlink" Target="https://wiki.eoscfuture.eu/display/PUBLIC/B.+v4.00+EOSC+Resource+Profile" TargetMode="External"/><Relationship Id="rId45" Type="http://schemas.openxmlformats.org/officeDocument/2006/relationships/drawing" Target="../drawings/drawing11.xml"/><Relationship Id="rId1" Type="http://schemas.openxmlformats.org/officeDocument/2006/relationships/comments" Target="../comments8.xml"/><Relationship Id="rId2" Type="http://schemas.openxmlformats.org/officeDocument/2006/relationships/hyperlink" Target="https://docs.google.com/document/d/17iUyJ2icY0gFzMZGPWJyY5E0tUoukAtI4BFeRonefv4/edit?usp=sharing" TargetMode="External"/><Relationship Id="rId3" Type="http://schemas.openxmlformats.org/officeDocument/2006/relationships/hyperlink" Target="https://wiki.eoscfuture.eu/display/PUBLIC/B.+v4.00+EOSC+Resource+Profile" TargetMode="External"/><Relationship Id="rId4" Type="http://schemas.openxmlformats.org/officeDocument/2006/relationships/hyperlink" Target="https://www.rd-alliance.org/sites/default/files/recommendation-jan-2017-v8_0.pdf" TargetMode="External"/><Relationship Id="rId9" Type="http://schemas.openxmlformats.org/officeDocument/2006/relationships/hyperlink" Target="https://datascience.codata.org/article/10.5334/dsj-2022-018/)" TargetMode="External"/><Relationship Id="rId26" Type="http://schemas.openxmlformats.org/officeDocument/2006/relationships/hyperlink" Target="https://andrew.treloar.net/research/diagrams/five_persistences.html" TargetMode="External"/><Relationship Id="rId25" Type="http://schemas.openxmlformats.org/officeDocument/2006/relationships/hyperlink" Target="https://www.rd-alliance.org/group/fair-digital-object-fabric-ig/outcomes/persistent-identifiers-consolidated-assertions" TargetMode="External"/><Relationship Id="rId28" Type="http://schemas.openxmlformats.org/officeDocument/2006/relationships/hyperlink" Target="https://andrew.treloar.net/research/diagrams/five_persistences.html" TargetMode="External"/><Relationship Id="rId27" Type="http://schemas.openxmlformats.org/officeDocument/2006/relationships/hyperlink" Target="https://andrew.treloar.net/research/diagrams/five_persistences.html" TargetMode="External"/><Relationship Id="rId5" Type="http://schemas.openxmlformats.org/officeDocument/2006/relationships/hyperlink" Target="https://datascience.codata.org/article/10.5334/dsj-2022-018/)" TargetMode="External"/><Relationship Id="rId6" Type="http://schemas.openxmlformats.org/officeDocument/2006/relationships/hyperlink" Target="https://datascience.codata.org/article/10.5334/dsj-2022-018/)" TargetMode="External"/><Relationship Id="rId29" Type="http://schemas.openxmlformats.org/officeDocument/2006/relationships/hyperlink" Target="https://andrew.treloar.net/research/diagrams/five_persistences.html" TargetMode="External"/><Relationship Id="rId7" Type="http://schemas.openxmlformats.org/officeDocument/2006/relationships/hyperlink" Target="https://datascience.codata.org/article/10.5334/dsj-2022-018/)" TargetMode="External"/><Relationship Id="rId8" Type="http://schemas.openxmlformats.org/officeDocument/2006/relationships/hyperlink" Target="https://datascience.codata.org/article/10.5334/dsj-2022-018/)" TargetMode="External"/><Relationship Id="rId31" Type="http://schemas.openxmlformats.org/officeDocument/2006/relationships/hyperlink" Target="https://www.rd-alliance.org/sites/default/files/GORC%20International%20Model%20WG_%20Case%20Statement%20V4%20July%202021.pdf" TargetMode="External"/><Relationship Id="rId30" Type="http://schemas.openxmlformats.org/officeDocument/2006/relationships/hyperlink" Target="https://www.rd-alliance.org/sites/default/files/GORC%20International%20Model%20WG_%20Case%20Statement%20V4%20July%202021.pdf" TargetMode="External"/><Relationship Id="rId11" Type="http://schemas.openxmlformats.org/officeDocument/2006/relationships/hyperlink" Target="https://wiki.eoscfuture.eu/display/PUBLIC/B.+v4.00+EOSC+Resource+Profile" TargetMode="External"/><Relationship Id="rId33" Type="http://schemas.openxmlformats.org/officeDocument/2006/relationships/hyperlink" Target="https://digital.csic.es/handle/10261/214441" TargetMode="External"/><Relationship Id="rId10" Type="http://schemas.openxmlformats.org/officeDocument/2006/relationships/hyperlink" Target="https://datascience.codata.org/article/10.5334/dsj-2022-018/)" TargetMode="External"/><Relationship Id="rId32" Type="http://schemas.openxmlformats.org/officeDocument/2006/relationships/hyperlink" Target="https://digital.csic.es/handle/10261/214441" TargetMode="External"/><Relationship Id="rId13" Type="http://schemas.openxmlformats.org/officeDocument/2006/relationships/hyperlink" Target="https://wiki.eoscfuture.eu/display/PUBLIC/B.+v4.00+EOSC+Resource+Profile" TargetMode="External"/><Relationship Id="rId35" Type="http://schemas.openxmlformats.org/officeDocument/2006/relationships/hyperlink" Target="https://digital.csic.es/handle/10261/214441" TargetMode="External"/><Relationship Id="rId12" Type="http://schemas.openxmlformats.org/officeDocument/2006/relationships/hyperlink" Target="https://wiki.eoscfuture.eu/display/PUBLIC/B.+v4.00+EOSC+Resource+Profile" TargetMode="External"/><Relationship Id="rId34" Type="http://schemas.openxmlformats.org/officeDocument/2006/relationships/hyperlink" Target="https://digital.csic.es/handle/10261/214441" TargetMode="External"/><Relationship Id="rId15" Type="http://schemas.openxmlformats.org/officeDocument/2006/relationships/hyperlink" Target="https://wiki.eoscfuture.eu/display/PUBLIC/B.+v4.00+EOSC+Resource+Profile" TargetMode="External"/><Relationship Id="rId37" Type="http://schemas.openxmlformats.org/officeDocument/2006/relationships/hyperlink" Target="https://digital.csic.es/handle/10261/214441" TargetMode="External"/><Relationship Id="rId14" Type="http://schemas.openxmlformats.org/officeDocument/2006/relationships/hyperlink" Target="https://wiki.eoscfuture.eu/display/PUBLIC/B.+v4.00+EOSC+Resource+Profile" TargetMode="External"/><Relationship Id="rId36" Type="http://schemas.openxmlformats.org/officeDocument/2006/relationships/hyperlink" Target="https://digital.csic.es/handle/10261/214441" TargetMode="External"/><Relationship Id="rId17" Type="http://schemas.openxmlformats.org/officeDocument/2006/relationships/hyperlink" Target="https://wiki.eoscfuture.eu/display/PUBLIC/B.+v4.00+EOSC+Resource+Profile" TargetMode="External"/><Relationship Id="rId39" Type="http://schemas.openxmlformats.org/officeDocument/2006/relationships/hyperlink" Target="https://digital.csic.es/handle/10261/214441" TargetMode="External"/><Relationship Id="rId16" Type="http://schemas.openxmlformats.org/officeDocument/2006/relationships/hyperlink" Target="https://wiki.eoscfuture.eu/display/PUBLIC/B.+v4.00+EOSC+Resource+Profile" TargetMode="External"/><Relationship Id="rId38" Type="http://schemas.openxmlformats.org/officeDocument/2006/relationships/hyperlink" Target="https://digital.csic.es/handle/10261/214441" TargetMode="External"/><Relationship Id="rId19" Type="http://schemas.openxmlformats.org/officeDocument/2006/relationships/hyperlink" Target="https://wiki.eoscfuture.eu/display/PUBLIC/B.+v4.00+EOSC+Resource+Profile" TargetMode="External"/><Relationship Id="rId18" Type="http://schemas.openxmlformats.org/officeDocument/2006/relationships/hyperlink" Target="https://wiki.eoscfuture.eu/display/PUBLIC/B.+v4.00+EOSC+Resource+Profile" TargetMode="External"/></Relationships>
</file>

<file path=xl/worksheets/_rels/sheet12.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www.rd-alliance.org/groups/fair-principles-research-hardware)" TargetMode="External"/><Relationship Id="rId3" Type="http://schemas.openxmlformats.org/officeDocument/2006/relationships/hyperlink" Target="https://www.rd-alliance.org/groups/fair-principles-research-hardware)" TargetMode="External"/><Relationship Id="rId4" Type="http://schemas.openxmlformats.org/officeDocument/2006/relationships/hyperlink" Target="https://www.rd-alliance.org/groups/fair-principles-research-hardware)" TargetMode="External"/><Relationship Id="rId9" Type="http://schemas.openxmlformats.org/officeDocument/2006/relationships/hyperlink" Target="https://doi.org/10.5281/zenodo.5535719" TargetMode="External"/><Relationship Id="rId5" Type="http://schemas.openxmlformats.org/officeDocument/2006/relationships/hyperlink" Target="https://www.rd-alliance.org/groups/fair-principles-research-hardware)" TargetMode="External"/><Relationship Id="rId6" Type="http://schemas.openxmlformats.org/officeDocument/2006/relationships/hyperlink" Target="https://www.rd-alliance.org/groups/fair-principles-research-hardware)" TargetMode="External"/><Relationship Id="rId7" Type="http://schemas.openxmlformats.org/officeDocument/2006/relationships/hyperlink" Target="https://www.rd-alliance.org/groups/fair-principles-research-hardware)" TargetMode="External"/><Relationship Id="rId8" Type="http://schemas.openxmlformats.org/officeDocument/2006/relationships/hyperlink" Target="https://doi.org/10.5281/zenodo.5535719" TargetMode="External"/><Relationship Id="rId11" Type="http://schemas.openxmlformats.org/officeDocument/2006/relationships/vmlDrawing" Target="../drawings/vmlDrawing9.vml"/><Relationship Id="rId10"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eosc.eu/monitoring-reporting/" TargetMode="External"/><Relationship Id="rId22" Type="http://schemas.openxmlformats.org/officeDocument/2006/relationships/vmlDrawing" Target="../drawings/vmlDrawing10.vml"/><Relationship Id="rId21" Type="http://schemas.openxmlformats.org/officeDocument/2006/relationships/drawing" Target="../drawings/drawing13.xml"/><Relationship Id="rId24" Type="http://schemas.openxmlformats.org/officeDocument/2006/relationships/table" Target="../tables/table1.xml"/><Relationship Id="rId1" Type="http://schemas.openxmlformats.org/officeDocument/2006/relationships/comments" Target="../comments10.xml"/><Relationship Id="rId2" Type="http://schemas.openxmlformats.org/officeDocument/2006/relationships/hyperlink" Target="https://eosc.eu/monitoring-reporting/" TargetMode="External"/><Relationship Id="rId3" Type="http://schemas.openxmlformats.org/officeDocument/2006/relationships/hyperlink" Target="https://eosc.eu/monitoring-reporting/" TargetMode="External"/><Relationship Id="rId4" Type="http://schemas.openxmlformats.org/officeDocument/2006/relationships/hyperlink" Target="https://eosc.eu/key-performance-indicators-kpis-monitoring" TargetMode="External"/><Relationship Id="rId9" Type="http://schemas.openxmlformats.org/officeDocument/2006/relationships/hyperlink" Target="https://www.geckoboard.com/best-practice/kpi-examples/net-promoter-score-nps/" TargetMode="External"/><Relationship Id="rId25" Type="http://schemas.microsoft.com/office/2007/relationships/slicer" Target="../slicers/slicer1.xml"/><Relationship Id="rId5" Type="http://schemas.openxmlformats.org/officeDocument/2006/relationships/hyperlink" Target="https://eosc.eu/key-performance-indicators-kpis-monitoring" TargetMode="External"/><Relationship Id="rId6" Type="http://schemas.openxmlformats.org/officeDocument/2006/relationships/hyperlink" Target="https://eosc.eu/monitoring-reporting/" TargetMode="External"/><Relationship Id="rId7" Type="http://schemas.openxmlformats.org/officeDocument/2006/relationships/hyperlink" Target="https://eosc.eu/monitoring-reporting/" TargetMode="External"/><Relationship Id="rId8" Type="http://schemas.openxmlformats.org/officeDocument/2006/relationships/hyperlink" Target="https://eosc.eu/monitoring-reporting/" TargetMode="External"/><Relationship Id="rId11" Type="http://schemas.openxmlformats.org/officeDocument/2006/relationships/hyperlink" Target="https://eosc.eu/key-performance-indicators-kpis-monitoring" TargetMode="External"/><Relationship Id="rId10" Type="http://schemas.openxmlformats.org/officeDocument/2006/relationships/hyperlink" Target="https://eosc.eu/monitoring-reporting/" TargetMode="External"/><Relationship Id="rId13" Type="http://schemas.openxmlformats.org/officeDocument/2006/relationships/hyperlink" Target="https://nitter.net/LeahAWasser/status/1577730887818498049)" TargetMode="External"/><Relationship Id="rId12" Type="http://schemas.openxmlformats.org/officeDocument/2006/relationships/hyperlink" Target="https://nitter.net/LeahAWasser/status/1577730887818498049)" TargetMode="External"/><Relationship Id="rId15" Type="http://schemas.openxmlformats.org/officeDocument/2006/relationships/hyperlink" Target="https://eosc.eu/monitoring-reporting/" TargetMode="External"/><Relationship Id="rId14" Type="http://schemas.openxmlformats.org/officeDocument/2006/relationships/hyperlink" Target="https://eosc.eu/key-performance-indicators-kpis-monitoring" TargetMode="External"/><Relationship Id="rId17" Type="http://schemas.openxmlformats.org/officeDocument/2006/relationships/hyperlink" Target="https://www.nist.gov/programs-projects/research-data-framework-rdaf" TargetMode="External"/><Relationship Id="rId16" Type="http://schemas.openxmlformats.org/officeDocument/2006/relationships/hyperlink" Target="https://www.projectcounter.org/code-of-practice-rd-sections/3-technical-specifications-reports/" TargetMode="External"/><Relationship Id="rId19" Type="http://schemas.openxmlformats.org/officeDocument/2006/relationships/hyperlink" Target="https://www.projectcounter.org/code-of-practice-rd-sections/3-technical-specifications-reports/" TargetMode="External"/><Relationship Id="rId18" Type="http://schemas.openxmlformats.org/officeDocument/2006/relationships/hyperlink" Target="https://eosc.eu/monitoring-report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0"/>
    <col customWidth="1" min="3" max="3" width="25.5"/>
    <col customWidth="1" min="5" max="5" width="13.38"/>
    <col customWidth="1" min="6" max="6" width="13.25"/>
    <col customWidth="1" min="7" max="7" width="13.63"/>
    <col customWidth="1" min="9" max="9" width="13.38"/>
  </cols>
  <sheetData>
    <row r="1">
      <c r="A1" s="1" t="s">
        <v>0</v>
      </c>
    </row>
    <row r="2">
      <c r="A2" s="2" t="s">
        <v>1</v>
      </c>
      <c r="B2" s="3"/>
    </row>
    <row r="3">
      <c r="A3" s="4"/>
      <c r="B3" s="3"/>
    </row>
    <row r="4" ht="42.75" customHeight="1">
      <c r="A4" s="5" t="s">
        <v>2</v>
      </c>
      <c r="B4" s="3"/>
    </row>
    <row r="5">
      <c r="A5" s="6"/>
    </row>
    <row r="6">
      <c r="A6" s="7" t="s">
        <v>3</v>
      </c>
    </row>
    <row r="7">
      <c r="A7" s="8" t="s">
        <v>4</v>
      </c>
    </row>
    <row r="8">
      <c r="A8" s="4"/>
    </row>
    <row r="9">
      <c r="A9" s="9" t="s">
        <v>5</v>
      </c>
    </row>
    <row r="10">
      <c r="A10" s="10"/>
    </row>
    <row r="11">
      <c r="A11" s="11" t="s">
        <v>6</v>
      </c>
      <c r="C11" s="12" t="s">
        <v>7</v>
      </c>
      <c r="D11" s="13"/>
      <c r="E11" s="13"/>
      <c r="F11" s="13"/>
      <c r="G11" s="13"/>
      <c r="H11" s="13"/>
      <c r="I11" s="13"/>
      <c r="J11" s="14"/>
    </row>
    <row r="12">
      <c r="A12" s="5" t="s">
        <v>8</v>
      </c>
      <c r="C12" s="15" t="s">
        <v>9</v>
      </c>
      <c r="D12" s="16" t="s">
        <v>10</v>
      </c>
      <c r="E12" s="17" t="s">
        <v>11</v>
      </c>
      <c r="F12" s="18" t="s">
        <v>12</v>
      </c>
      <c r="G12" s="19" t="s">
        <v>13</v>
      </c>
      <c r="H12" s="20" t="s">
        <v>14</v>
      </c>
      <c r="I12" s="20" t="s">
        <v>15</v>
      </c>
      <c r="J12" s="21" t="s">
        <v>16</v>
      </c>
    </row>
    <row r="13">
      <c r="A13" s="22"/>
      <c r="C13" s="23" t="s">
        <v>17</v>
      </c>
      <c r="D13" s="24">
        <f t="shared" ref="D13:D22" si="1">SUM(H13:I13,J13)</f>
        <v>59</v>
      </c>
      <c r="E13" s="25">
        <f>COUNTIF('Governance &amp; Leadership'!G:G, "Core")</f>
        <v>41</v>
      </c>
      <c r="F13" s="26">
        <f>COUNTIF('Governance &amp; Leadership'!G:G, "Desirable")</f>
        <v>18</v>
      </c>
      <c r="G13" s="27">
        <f>COUNTIF('Governance &amp; Leadership'!G:G, "Optional")</f>
        <v>0</v>
      </c>
      <c r="H13" s="28">
        <v>5.0</v>
      </c>
      <c r="I13" s="28">
        <v>6.0</v>
      </c>
      <c r="J13" s="29">
        <v>48.0</v>
      </c>
    </row>
    <row r="14">
      <c r="A14" s="6" t="s">
        <v>18</v>
      </c>
      <c r="C14" s="30" t="s">
        <v>19</v>
      </c>
      <c r="D14" s="24">
        <f t="shared" si="1"/>
        <v>15</v>
      </c>
      <c r="E14" s="31">
        <f>COUNTIF('Rules of Participation &amp; Access'!G:G, "Core")</f>
        <v>11</v>
      </c>
      <c r="F14" s="32">
        <f>COUNTIF('Rules of Participation &amp; Access'!G:G, "Desirable")</f>
        <v>4</v>
      </c>
      <c r="G14" s="33">
        <f>COUNTIF('Rules of Participation &amp; Access'!G:G, "Optional")</f>
        <v>0</v>
      </c>
      <c r="H14" s="34">
        <v>2.0</v>
      </c>
      <c r="I14" s="28">
        <v>8.0</v>
      </c>
      <c r="J14" s="35">
        <v>5.0</v>
      </c>
    </row>
    <row r="15">
      <c r="A15" s="36" t="s">
        <v>20</v>
      </c>
      <c r="C15" s="30" t="s">
        <v>21</v>
      </c>
      <c r="D15" s="24">
        <f t="shared" si="1"/>
        <v>12</v>
      </c>
      <c r="E15" s="31">
        <f>COUNTIF(Sustainability!G:G, "Core")</f>
        <v>5</v>
      </c>
      <c r="F15" s="32">
        <f>COUNTIF(Sustainability!G:G, "Desirable")</f>
        <v>5</v>
      </c>
      <c r="G15" s="33">
        <f>COUNTIF(Sustainability!G:G, "Optional")</f>
        <v>2</v>
      </c>
      <c r="H15" s="34">
        <v>3.0</v>
      </c>
      <c r="I15" s="34">
        <v>5.0</v>
      </c>
      <c r="J15" s="37">
        <v>4.0</v>
      </c>
    </row>
    <row r="16">
      <c r="A16" s="38" t="s">
        <v>22</v>
      </c>
      <c r="C16" s="30" t="s">
        <v>23</v>
      </c>
      <c r="D16" s="24">
        <f t="shared" si="1"/>
        <v>17</v>
      </c>
      <c r="E16" s="31">
        <f>COUNTIF(Engagement!G:G, "Core")</f>
        <v>11</v>
      </c>
      <c r="F16" s="32">
        <f>COUNTIF(Engagement!G:G, "Desirable")</f>
        <v>5</v>
      </c>
      <c r="G16" s="33">
        <f>COUNTIF(Engagement!G:G, "Optional")</f>
        <v>1</v>
      </c>
      <c r="H16" s="28">
        <v>4.0</v>
      </c>
      <c r="I16" s="28">
        <v>3.0</v>
      </c>
      <c r="J16" s="35">
        <v>10.0</v>
      </c>
    </row>
    <row r="17" ht="18.0" customHeight="1">
      <c r="A17" s="39" t="s">
        <v>24</v>
      </c>
      <c r="C17" s="30" t="s">
        <v>25</v>
      </c>
      <c r="D17" s="24">
        <f t="shared" si="1"/>
        <v>27</v>
      </c>
      <c r="E17" s="31">
        <f>COUNTIF('Human Capacity'!G:G, "Core")</f>
        <v>22</v>
      </c>
      <c r="F17" s="32">
        <f>COUNTIF('Human Capacity'!G:G, "Desirable")</f>
        <v>5</v>
      </c>
      <c r="G17" s="33">
        <f>COUNTIF('Human Capacity'!G:G, "Optional")</f>
        <v>0</v>
      </c>
      <c r="H17" s="28">
        <v>5.0</v>
      </c>
      <c r="I17" s="28">
        <v>1.0</v>
      </c>
      <c r="J17" s="35">
        <v>21.0</v>
      </c>
    </row>
    <row r="18">
      <c r="A18" s="40" t="s">
        <v>26</v>
      </c>
      <c r="C18" s="30" t="s">
        <v>27</v>
      </c>
      <c r="D18" s="24">
        <f t="shared" si="1"/>
        <v>28</v>
      </c>
      <c r="E18" s="31">
        <f>COUNTIF('ICT Infrastructure'!G:G, "Core")</f>
        <v>20</v>
      </c>
      <c r="F18" s="32">
        <f>COUNTIF('ICT Infrastructure'!G:G, "Desirable")</f>
        <v>4</v>
      </c>
      <c r="G18" s="33">
        <f>COUNTIF('ICT Infrastructure'!G:G, "Optional")</f>
        <v>4</v>
      </c>
      <c r="H18" s="34">
        <v>5.0</v>
      </c>
      <c r="I18" s="34">
        <v>8.0</v>
      </c>
      <c r="J18" s="35">
        <v>15.0</v>
      </c>
    </row>
    <row r="19">
      <c r="A19" s="40"/>
      <c r="C19" s="23" t="s">
        <v>28</v>
      </c>
      <c r="D19" s="24">
        <f t="shared" si="1"/>
        <v>21</v>
      </c>
      <c r="E19" s="31">
        <f>COUNTIF(Interoperability!G:G, "Core")</f>
        <v>9</v>
      </c>
      <c r="F19" s="32">
        <f>COUNTIF(Interoperability!G:G, "Desirable")</f>
        <v>11</v>
      </c>
      <c r="G19" s="33">
        <f>COUNTIF(Interoperability!G:G, "Optional")</f>
        <v>1</v>
      </c>
      <c r="H19" s="28">
        <v>3.0</v>
      </c>
      <c r="I19" s="28">
        <v>3.0</v>
      </c>
      <c r="J19" s="29">
        <v>15.0</v>
      </c>
    </row>
    <row r="20">
      <c r="C20" s="41" t="s">
        <v>29</v>
      </c>
      <c r="D20" s="42">
        <f t="shared" si="1"/>
        <v>33</v>
      </c>
      <c r="E20" s="31">
        <f>COUNTIF('Standards &amp; Conventions'!G:G, "Core")</f>
        <v>10</v>
      </c>
      <c r="F20" s="32">
        <f>COUNTIF('Standards &amp; Conventions'!G:G, "Desirable")</f>
        <v>22</v>
      </c>
      <c r="G20" s="33">
        <f>COUNTIF('Standards &amp; Conventions'!G:G, "Optional")</f>
        <v>1</v>
      </c>
      <c r="H20" s="43">
        <v>10.0</v>
      </c>
      <c r="I20" s="43">
        <v>2.0</v>
      </c>
      <c r="J20" s="44">
        <v>21.0</v>
      </c>
    </row>
    <row r="21">
      <c r="C21" s="23" t="s">
        <v>30</v>
      </c>
      <c r="D21" s="24">
        <f t="shared" si="1"/>
        <v>74</v>
      </c>
      <c r="E21" s="31">
        <f>COUNTIF('Services &amp; Tools'!G:G, "Core")</f>
        <v>28</v>
      </c>
      <c r="F21" s="32">
        <f>COUNTIF('Services &amp; Tools'!G:G, "Desirable")</f>
        <v>36</v>
      </c>
      <c r="G21" s="33">
        <f>COUNTIF('Services &amp; Tools'!G:G, "Optional")</f>
        <v>10</v>
      </c>
      <c r="H21" s="28">
        <v>10.0</v>
      </c>
      <c r="I21" s="28">
        <v>10.0</v>
      </c>
      <c r="J21" s="29">
        <v>54.0</v>
      </c>
    </row>
    <row r="22">
      <c r="C22" s="45" t="s">
        <v>31</v>
      </c>
      <c r="D22" s="24">
        <f t="shared" si="1"/>
        <v>6</v>
      </c>
      <c r="E22" s="31">
        <f>COUNTIF('Research Objects'!G:G, "Core")</f>
        <v>6</v>
      </c>
      <c r="F22" s="32">
        <f>COUNTIF('Research Objects'!G:G, "Desirable")</f>
        <v>0</v>
      </c>
      <c r="G22" s="33">
        <f>COUNTIF('Research Objects'!G:G, "Optional")</f>
        <v>0</v>
      </c>
      <c r="H22" s="46">
        <v>5.0</v>
      </c>
      <c r="I22" s="46">
        <v>0.0</v>
      </c>
      <c r="J22" s="47">
        <v>1.0</v>
      </c>
    </row>
    <row r="23">
      <c r="A23" s="48" t="s">
        <v>32</v>
      </c>
      <c r="C23" s="49" t="s">
        <v>33</v>
      </c>
      <c r="D23" s="50">
        <f t="shared" ref="D23:J23" si="2">SUM(D13:D22)</f>
        <v>292</v>
      </c>
      <c r="E23" s="51">
        <f t="shared" si="2"/>
        <v>163</v>
      </c>
      <c r="F23" s="52">
        <f t="shared" si="2"/>
        <v>110</v>
      </c>
      <c r="G23" s="53">
        <f t="shared" si="2"/>
        <v>19</v>
      </c>
      <c r="H23" s="54">
        <f t="shared" si="2"/>
        <v>52</v>
      </c>
      <c r="I23" s="54">
        <f t="shared" si="2"/>
        <v>46</v>
      </c>
      <c r="J23" s="55">
        <f t="shared" si="2"/>
        <v>194</v>
      </c>
    </row>
    <row r="24">
      <c r="A24" s="56" t="s">
        <v>34</v>
      </c>
      <c r="C24" s="45" t="s">
        <v>35</v>
      </c>
      <c r="D24" s="57">
        <v>104.0</v>
      </c>
      <c r="E24" s="58">
        <f>COUNTIF('KPIs &amp; Metrics'!E:E, "Core")</f>
        <v>49</v>
      </c>
      <c r="F24" s="59">
        <f>COUNTIF('KPIs &amp; Metrics'!E:E, "Desirable")</f>
        <v>34</v>
      </c>
      <c r="G24" s="60">
        <f>COUNTIF('KPIs &amp; Metrics'!E:E, "Optional")</f>
        <v>21</v>
      </c>
      <c r="H24" s="61"/>
      <c r="I24" s="61"/>
      <c r="J24" s="61"/>
    </row>
    <row r="25">
      <c r="A25" s="62" t="s">
        <v>36</v>
      </c>
      <c r="C25" s="45" t="s">
        <v>37</v>
      </c>
      <c r="D25" s="63">
        <f>D23+D24</f>
        <v>396</v>
      </c>
      <c r="E25" s="64">
        <f t="shared" ref="E25:G25" si="3">SUM(E23:E24)</f>
        <v>212</v>
      </c>
      <c r="F25" s="65">
        <f t="shared" si="3"/>
        <v>144</v>
      </c>
      <c r="G25" s="66">
        <f t="shared" si="3"/>
        <v>40</v>
      </c>
      <c r="H25" s="61"/>
      <c r="I25" s="61"/>
      <c r="J25" s="61"/>
    </row>
    <row r="27">
      <c r="A27" s="67" t="s">
        <v>38</v>
      </c>
    </row>
  </sheetData>
  <mergeCells count="1">
    <mergeCell ref="C11:J11"/>
  </mergeCells>
  <hyperlinks>
    <hyperlink r:id="rId1" ref="A2"/>
    <hyperlink r:id="rId2" ref="A4"/>
    <hyperlink r:id="rId3" ref="A7"/>
    <hyperlink r:id="rId4" ref="A12"/>
    <hyperlink r:id="rId5" ref="A15"/>
    <hyperlink r:id="rId6" ref="A16"/>
    <hyperlink r:id="rId7" ref="A17"/>
    <hyperlink r:id="rId8" ref="A18"/>
    <hyperlink r:id="rId9" ref="A23"/>
    <hyperlink r:id="rId10" ref="A25"/>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75"/>
    <col customWidth="1" min="2" max="2" width="133.38"/>
    <col customWidth="1" min="3" max="3" width="46.38"/>
  </cols>
  <sheetData>
    <row r="1">
      <c r="A1" s="68" t="s">
        <v>39</v>
      </c>
      <c r="B1" s="69" t="s">
        <v>40</v>
      </c>
      <c r="C1" s="70" t="s">
        <v>41</v>
      </c>
    </row>
    <row r="2">
      <c r="A2" s="71" t="s">
        <v>42</v>
      </c>
      <c r="B2" s="71" t="s">
        <v>43</v>
      </c>
      <c r="C2" s="71" t="s">
        <v>44</v>
      </c>
    </row>
    <row r="3">
      <c r="A3" s="72" t="s">
        <v>45</v>
      </c>
      <c r="B3" s="72" t="s">
        <v>46</v>
      </c>
      <c r="C3" s="72" t="s">
        <v>47</v>
      </c>
    </row>
    <row r="4">
      <c r="A4" s="72" t="s">
        <v>48</v>
      </c>
      <c r="B4" s="72" t="s">
        <v>49</v>
      </c>
      <c r="C4" s="72" t="s">
        <v>50</v>
      </c>
    </row>
    <row r="5">
      <c r="A5" s="72" t="s">
        <v>51</v>
      </c>
      <c r="B5" s="72" t="s">
        <v>52</v>
      </c>
      <c r="C5" s="72" t="s">
        <v>53</v>
      </c>
    </row>
    <row r="6">
      <c r="A6" s="72" t="s">
        <v>54</v>
      </c>
      <c r="B6" s="72" t="s">
        <v>55</v>
      </c>
      <c r="C6" s="72" t="s">
        <v>56</v>
      </c>
    </row>
    <row r="7">
      <c r="A7" s="72" t="s">
        <v>57</v>
      </c>
      <c r="B7" s="72" t="s">
        <v>58</v>
      </c>
      <c r="C7" s="72" t="s">
        <v>59</v>
      </c>
    </row>
    <row r="8">
      <c r="A8" s="72" t="s">
        <v>60</v>
      </c>
      <c r="B8" s="72" t="s">
        <v>61</v>
      </c>
      <c r="C8" s="72" t="s">
        <v>62</v>
      </c>
    </row>
    <row r="9">
      <c r="A9" s="72" t="s">
        <v>63</v>
      </c>
      <c r="B9" s="72" t="s">
        <v>64</v>
      </c>
      <c r="C9" s="72" t="s">
        <v>65</v>
      </c>
    </row>
    <row r="10">
      <c r="A10" s="72" t="s">
        <v>66</v>
      </c>
      <c r="B10" s="72" t="s">
        <v>67</v>
      </c>
      <c r="C10" s="72" t="s">
        <v>68</v>
      </c>
    </row>
    <row r="11">
      <c r="A11" s="72" t="s">
        <v>69</v>
      </c>
      <c r="B11" s="72" t="s">
        <v>70</v>
      </c>
      <c r="C11" s="72" t="s">
        <v>71</v>
      </c>
    </row>
    <row r="12">
      <c r="A12" s="72" t="s">
        <v>72</v>
      </c>
      <c r="B12" s="72" t="s">
        <v>73</v>
      </c>
      <c r="C12" s="72" t="s">
        <v>74</v>
      </c>
    </row>
    <row r="13">
      <c r="A13" s="72" t="s">
        <v>75</v>
      </c>
      <c r="B13" s="72" t="s">
        <v>76</v>
      </c>
      <c r="C13" s="72" t="s">
        <v>77</v>
      </c>
    </row>
    <row r="14">
      <c r="A14" s="72" t="s">
        <v>78</v>
      </c>
      <c r="B14" s="72" t="s">
        <v>79</v>
      </c>
      <c r="C14" s="72" t="s">
        <v>80</v>
      </c>
    </row>
    <row r="15">
      <c r="A15" s="72" t="s">
        <v>9</v>
      </c>
      <c r="B15" s="72" t="s">
        <v>81</v>
      </c>
      <c r="C15" s="72" t="s">
        <v>59</v>
      </c>
    </row>
    <row r="16">
      <c r="A16" s="72" t="s">
        <v>82</v>
      </c>
      <c r="B16" s="72" t="s">
        <v>83</v>
      </c>
      <c r="C16" s="72" t="s">
        <v>62</v>
      </c>
    </row>
    <row r="17">
      <c r="A17" s="72" t="s">
        <v>84</v>
      </c>
      <c r="B17" s="72" t="s">
        <v>85</v>
      </c>
      <c r="C17" s="72" t="s">
        <v>86</v>
      </c>
    </row>
    <row r="18">
      <c r="A18" s="72" t="s">
        <v>87</v>
      </c>
      <c r="B18" s="72" t="s">
        <v>88</v>
      </c>
      <c r="C18" s="72" t="s">
        <v>80</v>
      </c>
    </row>
    <row r="19">
      <c r="A19" s="72" t="s">
        <v>89</v>
      </c>
      <c r="B19" s="72" t="s">
        <v>90</v>
      </c>
      <c r="C19" s="72" t="s">
        <v>91</v>
      </c>
    </row>
    <row r="20">
      <c r="A20" s="72" t="s">
        <v>92</v>
      </c>
      <c r="B20" s="72" t="s">
        <v>93</v>
      </c>
      <c r="C20" s="72" t="s">
        <v>80</v>
      </c>
    </row>
    <row r="21">
      <c r="A21" s="72" t="s">
        <v>94</v>
      </c>
      <c r="B21" s="72" t="s">
        <v>95</v>
      </c>
      <c r="C21" s="72" t="s">
        <v>65</v>
      </c>
    </row>
    <row r="22">
      <c r="A22" s="72" t="s">
        <v>96</v>
      </c>
      <c r="B22" s="72" t="s">
        <v>97</v>
      </c>
      <c r="C22" s="72" t="s">
        <v>98</v>
      </c>
    </row>
    <row r="23">
      <c r="B23" s="72" t="s">
        <v>99</v>
      </c>
      <c r="C23" s="72" t="s">
        <v>100</v>
      </c>
    </row>
    <row r="24">
      <c r="B24" s="72" t="s">
        <v>101</v>
      </c>
      <c r="C24" s="72" t="s">
        <v>102</v>
      </c>
    </row>
    <row r="25">
      <c r="B25" s="72" t="s">
        <v>103</v>
      </c>
      <c r="C25" s="72" t="s">
        <v>100</v>
      </c>
    </row>
    <row r="26">
      <c r="B26" s="72" t="s">
        <v>104</v>
      </c>
      <c r="C26" s="72" t="s">
        <v>100</v>
      </c>
    </row>
    <row r="27">
      <c r="A27" s="72" t="s">
        <v>105</v>
      </c>
      <c r="B27" s="72" t="s">
        <v>106</v>
      </c>
      <c r="C27" s="72" t="s">
        <v>47</v>
      </c>
    </row>
    <row r="28">
      <c r="A28" s="72" t="s">
        <v>107</v>
      </c>
      <c r="B28" s="72" t="s">
        <v>108</v>
      </c>
      <c r="C28" s="72" t="s">
        <v>109</v>
      </c>
    </row>
    <row r="29">
      <c r="A29" s="72" t="s">
        <v>110</v>
      </c>
      <c r="B29" s="72" t="s">
        <v>111</v>
      </c>
      <c r="C29" s="72" t="s">
        <v>62</v>
      </c>
    </row>
    <row r="30">
      <c r="A30" s="72" t="s">
        <v>112</v>
      </c>
      <c r="B30" s="72" t="s">
        <v>113</v>
      </c>
      <c r="C30" s="72" t="s">
        <v>62</v>
      </c>
    </row>
    <row r="31">
      <c r="A31" s="72" t="s">
        <v>114</v>
      </c>
      <c r="B31" s="72" t="s">
        <v>115</v>
      </c>
      <c r="C31" s="72" t="s">
        <v>116</v>
      </c>
    </row>
    <row r="32">
      <c r="A32" s="72" t="s">
        <v>117</v>
      </c>
      <c r="B32" s="72" t="s">
        <v>118</v>
      </c>
      <c r="C32" s="72" t="s">
        <v>119</v>
      </c>
    </row>
    <row r="33">
      <c r="A33" s="72" t="s">
        <v>120</v>
      </c>
      <c r="B33" s="72" t="s">
        <v>121</v>
      </c>
      <c r="C33" s="72" t="s">
        <v>122</v>
      </c>
    </row>
    <row r="34">
      <c r="A34" s="72" t="s">
        <v>123</v>
      </c>
      <c r="B34" s="72" t="s">
        <v>124</v>
      </c>
      <c r="C34" s="72" t="s">
        <v>125</v>
      </c>
    </row>
    <row r="35">
      <c r="A35" s="72" t="s">
        <v>126</v>
      </c>
      <c r="B35" s="72" t="s">
        <v>127</v>
      </c>
      <c r="C35" s="72" t="s">
        <v>128</v>
      </c>
    </row>
    <row r="36">
      <c r="A36" s="72" t="s">
        <v>129</v>
      </c>
      <c r="B36" s="72" t="s">
        <v>130</v>
      </c>
      <c r="C36" s="72" t="s">
        <v>131</v>
      </c>
    </row>
    <row r="37">
      <c r="A37" s="72" t="s">
        <v>132</v>
      </c>
      <c r="B37" s="72" t="s">
        <v>133</v>
      </c>
      <c r="C37" s="73"/>
    </row>
    <row r="38">
      <c r="A38" s="72" t="s">
        <v>134</v>
      </c>
      <c r="B38" s="72" t="s">
        <v>135</v>
      </c>
      <c r="C38" s="73"/>
    </row>
    <row r="39">
      <c r="A39" s="72" t="s">
        <v>136</v>
      </c>
      <c r="B39" s="72" t="s">
        <v>137</v>
      </c>
      <c r="C39" s="74" t="s">
        <v>138</v>
      </c>
    </row>
    <row r="40">
      <c r="A40" s="72" t="s">
        <v>139</v>
      </c>
      <c r="B40" s="72" t="s">
        <v>140</v>
      </c>
      <c r="C40" s="72" t="s">
        <v>74</v>
      </c>
    </row>
    <row r="41">
      <c r="A41" s="72" t="s">
        <v>141</v>
      </c>
      <c r="B41" s="72" t="s">
        <v>142</v>
      </c>
      <c r="C41" s="72" t="s">
        <v>143</v>
      </c>
    </row>
    <row r="42">
      <c r="A42" s="72" t="s">
        <v>144</v>
      </c>
      <c r="B42" s="72" t="s">
        <v>145</v>
      </c>
      <c r="C42" s="72" t="s">
        <v>146</v>
      </c>
    </row>
    <row r="43">
      <c r="A43" s="72" t="s">
        <v>147</v>
      </c>
      <c r="B43" s="72" t="s">
        <v>148</v>
      </c>
      <c r="C43" s="72" t="s">
        <v>80</v>
      </c>
    </row>
    <row r="44">
      <c r="A44" s="72" t="s">
        <v>149</v>
      </c>
      <c r="B44" s="72" t="s">
        <v>150</v>
      </c>
      <c r="C44" s="72" t="s">
        <v>151</v>
      </c>
    </row>
    <row r="45">
      <c r="A45" s="72" t="s">
        <v>152</v>
      </c>
      <c r="B45" s="72" t="s">
        <v>153</v>
      </c>
      <c r="C45" s="72" t="s">
        <v>154</v>
      </c>
    </row>
    <row r="46">
      <c r="A46" s="72" t="s">
        <v>155</v>
      </c>
      <c r="B46" s="72" t="s">
        <v>156</v>
      </c>
      <c r="C46" s="72" t="s">
        <v>157</v>
      </c>
    </row>
    <row r="47">
      <c r="A47" s="72" t="s">
        <v>158</v>
      </c>
      <c r="B47" s="72" t="s">
        <v>159</v>
      </c>
      <c r="C47" s="72" t="s">
        <v>160</v>
      </c>
    </row>
    <row r="48">
      <c r="B48" s="72" t="s">
        <v>161</v>
      </c>
      <c r="C48" s="72" t="s">
        <v>162</v>
      </c>
    </row>
    <row r="49">
      <c r="A49" s="72" t="s">
        <v>163</v>
      </c>
      <c r="B49" s="72" t="s">
        <v>164</v>
      </c>
      <c r="C49" s="72" t="s">
        <v>165</v>
      </c>
    </row>
    <row r="50">
      <c r="A50" s="72" t="s">
        <v>166</v>
      </c>
      <c r="B50" s="72" t="s">
        <v>167</v>
      </c>
      <c r="C50" s="72" t="s">
        <v>168</v>
      </c>
    </row>
    <row r="51">
      <c r="A51" s="72" t="s">
        <v>169</v>
      </c>
      <c r="B51" s="72" t="s">
        <v>170</v>
      </c>
      <c r="C51" s="72" t="s">
        <v>80</v>
      </c>
    </row>
    <row r="52">
      <c r="A52" s="72" t="s">
        <v>171</v>
      </c>
      <c r="B52" s="72" t="s">
        <v>172</v>
      </c>
      <c r="C52" s="72" t="s">
        <v>80</v>
      </c>
    </row>
    <row r="53">
      <c r="A53" s="72" t="s">
        <v>173</v>
      </c>
      <c r="B53" s="72" t="s">
        <v>174</v>
      </c>
      <c r="C53" s="73"/>
    </row>
    <row r="54">
      <c r="A54" s="72" t="s">
        <v>175</v>
      </c>
      <c r="B54" s="72" t="s">
        <v>176</v>
      </c>
      <c r="C54" s="72" t="s">
        <v>177</v>
      </c>
    </row>
  </sheetData>
  <mergeCells count="2">
    <mergeCell ref="A22:A26"/>
    <mergeCell ref="A47:A48"/>
  </mergeCells>
  <hyperlinks>
    <hyperlink r:id="rId1" ref="C3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0.38"/>
    <col customWidth="1" min="2" max="2" width="18.13"/>
    <col customWidth="1" min="3" max="3" width="16.75"/>
    <col customWidth="1" min="4" max="4" width="23.0"/>
    <col customWidth="1" min="5" max="5" width="63.5"/>
    <col customWidth="1" min="6" max="6" width="61.38"/>
    <col customWidth="1" min="7" max="7" width="11.5"/>
    <col customWidth="1" min="8" max="8" width="53.63"/>
  </cols>
  <sheetData>
    <row r="1" ht="24.75" customHeight="1">
      <c r="A1" s="75" t="s">
        <v>178</v>
      </c>
      <c r="C1" s="76" t="s">
        <v>179</v>
      </c>
      <c r="D1" s="77">
        <f>SUBTOTAL(103, G3:G61)</f>
        <v>59</v>
      </c>
      <c r="E1" s="72" t="s">
        <v>41</v>
      </c>
      <c r="F1" s="72" t="s">
        <v>41</v>
      </c>
      <c r="G1" s="72" t="s">
        <v>41</v>
      </c>
      <c r="H1" s="72" t="s">
        <v>41</v>
      </c>
    </row>
    <row r="2">
      <c r="A2" s="78" t="s">
        <v>180</v>
      </c>
      <c r="B2" s="79" t="s">
        <v>181</v>
      </c>
      <c r="C2" s="80" t="s">
        <v>45</v>
      </c>
      <c r="D2" s="79" t="s">
        <v>82</v>
      </c>
      <c r="E2" s="79" t="s">
        <v>182</v>
      </c>
      <c r="F2" s="79" t="s">
        <v>183</v>
      </c>
      <c r="G2" s="79" t="s">
        <v>63</v>
      </c>
      <c r="H2" s="80" t="s">
        <v>184</v>
      </c>
    </row>
    <row r="3">
      <c r="A3" s="81" t="s">
        <v>185</v>
      </c>
      <c r="C3" s="82"/>
      <c r="E3" s="83" t="s">
        <v>41</v>
      </c>
      <c r="F3" s="84" t="s">
        <v>41</v>
      </c>
      <c r="G3" s="84" t="s">
        <v>186</v>
      </c>
      <c r="H3" s="85" t="s">
        <v>77</v>
      </c>
    </row>
    <row r="4">
      <c r="C4" s="86" t="s">
        <v>187</v>
      </c>
      <c r="E4" s="87" t="s">
        <v>41</v>
      </c>
      <c r="F4" s="88" t="s">
        <v>188</v>
      </c>
      <c r="G4" s="88" t="s">
        <v>186</v>
      </c>
      <c r="H4" s="89" t="s">
        <v>189</v>
      </c>
    </row>
    <row r="5">
      <c r="C5" s="88" t="s">
        <v>190</v>
      </c>
      <c r="E5" s="87" t="s">
        <v>41</v>
      </c>
      <c r="F5" s="88" t="s">
        <v>191</v>
      </c>
      <c r="G5" s="88" t="s">
        <v>186</v>
      </c>
      <c r="H5" s="90" t="s">
        <v>192</v>
      </c>
    </row>
    <row r="6">
      <c r="C6" s="86" t="s">
        <v>193</v>
      </c>
      <c r="E6" s="88" t="s">
        <v>194</v>
      </c>
      <c r="F6" s="91" t="s">
        <v>195</v>
      </c>
      <c r="G6" s="88" t="s">
        <v>186</v>
      </c>
      <c r="H6" s="90" t="s">
        <v>196</v>
      </c>
    </row>
    <row r="7">
      <c r="C7" s="86" t="s">
        <v>197</v>
      </c>
      <c r="E7" s="88" t="s">
        <v>198</v>
      </c>
      <c r="F7" s="91" t="s">
        <v>199</v>
      </c>
      <c r="G7" s="88" t="s">
        <v>186</v>
      </c>
      <c r="H7" s="90" t="s">
        <v>196</v>
      </c>
    </row>
    <row r="8">
      <c r="A8" s="92" t="s">
        <v>200</v>
      </c>
      <c r="B8" s="93"/>
      <c r="E8" s="94" t="s">
        <v>201</v>
      </c>
      <c r="F8" s="95" t="s">
        <v>41</v>
      </c>
      <c r="G8" s="94" t="s">
        <v>186</v>
      </c>
      <c r="H8" s="96" t="s">
        <v>202</v>
      </c>
    </row>
    <row r="9" ht="46.5" customHeight="1">
      <c r="B9" s="93"/>
      <c r="C9" s="86" t="s">
        <v>203</v>
      </c>
      <c r="D9" s="86"/>
      <c r="E9" s="86" t="s">
        <v>204</v>
      </c>
      <c r="F9" s="91" t="s">
        <v>41</v>
      </c>
      <c r="G9" s="88" t="s">
        <v>186</v>
      </c>
      <c r="H9" s="88" t="s">
        <v>205</v>
      </c>
    </row>
    <row r="10" ht="88.5" customHeight="1">
      <c r="D10" s="97" t="s">
        <v>206</v>
      </c>
      <c r="E10" s="97" t="s">
        <v>207</v>
      </c>
      <c r="F10" s="98" t="s">
        <v>208</v>
      </c>
      <c r="G10" s="97" t="s">
        <v>209</v>
      </c>
      <c r="H10" s="99" t="s">
        <v>210</v>
      </c>
    </row>
    <row r="11" ht="40.5" customHeight="1">
      <c r="D11" s="99" t="s">
        <v>211</v>
      </c>
      <c r="E11" s="100" t="s">
        <v>41</v>
      </c>
      <c r="F11" s="97" t="s">
        <v>212</v>
      </c>
      <c r="G11" s="97" t="s">
        <v>186</v>
      </c>
      <c r="H11" s="101" t="s">
        <v>213</v>
      </c>
    </row>
    <row r="12">
      <c r="D12" s="97" t="s">
        <v>214</v>
      </c>
      <c r="E12" s="100" t="s">
        <v>41</v>
      </c>
      <c r="F12" s="97" t="s">
        <v>215</v>
      </c>
      <c r="G12" s="97" t="s">
        <v>209</v>
      </c>
      <c r="H12" s="102" t="s">
        <v>196</v>
      </c>
    </row>
    <row r="13">
      <c r="D13" s="97" t="s">
        <v>216</v>
      </c>
      <c r="E13" s="100" t="s">
        <v>41</v>
      </c>
      <c r="F13" s="97" t="s">
        <v>217</v>
      </c>
      <c r="G13" s="97" t="s">
        <v>209</v>
      </c>
      <c r="H13" s="97" t="s">
        <v>218</v>
      </c>
    </row>
    <row r="14" ht="95.25" customHeight="1">
      <c r="D14" s="99" t="s">
        <v>219</v>
      </c>
      <c r="E14" s="97" t="s">
        <v>220</v>
      </c>
      <c r="F14" s="98" t="s">
        <v>221</v>
      </c>
      <c r="G14" s="97" t="s">
        <v>186</v>
      </c>
      <c r="H14" s="97" t="s">
        <v>222</v>
      </c>
    </row>
    <row r="15">
      <c r="C15" s="103" t="s">
        <v>223</v>
      </c>
      <c r="E15" s="88" t="s">
        <v>224</v>
      </c>
      <c r="F15" s="91" t="s">
        <v>225</v>
      </c>
      <c r="G15" s="88" t="s">
        <v>186</v>
      </c>
      <c r="H15" s="86" t="s">
        <v>226</v>
      </c>
    </row>
    <row r="16" ht="40.5" customHeight="1">
      <c r="B16" s="104" t="s">
        <v>227</v>
      </c>
      <c r="C16" s="105"/>
      <c r="E16" s="106" t="s">
        <v>228</v>
      </c>
      <c r="F16" s="104" t="s">
        <v>41</v>
      </c>
      <c r="G16" s="106" t="s">
        <v>186</v>
      </c>
      <c r="H16" s="106" t="s">
        <v>229</v>
      </c>
    </row>
    <row r="17" ht="46.5" customHeight="1">
      <c r="C17" s="88" t="s">
        <v>230</v>
      </c>
      <c r="D17" s="103"/>
      <c r="E17" s="88" t="s">
        <v>41</v>
      </c>
      <c r="F17" s="91" t="s">
        <v>41</v>
      </c>
      <c r="G17" s="88" t="s">
        <v>186</v>
      </c>
      <c r="H17" s="88" t="s">
        <v>231</v>
      </c>
    </row>
    <row r="18">
      <c r="D18" s="99" t="s">
        <v>232</v>
      </c>
      <c r="E18" s="97" t="s">
        <v>233</v>
      </c>
      <c r="F18" s="98" t="s">
        <v>234</v>
      </c>
      <c r="G18" s="97" t="s">
        <v>209</v>
      </c>
      <c r="H18" s="97" t="s">
        <v>231</v>
      </c>
    </row>
    <row r="19">
      <c r="D19" s="99" t="s">
        <v>235</v>
      </c>
      <c r="E19" s="97" t="s">
        <v>236</v>
      </c>
      <c r="F19" s="98" t="s">
        <v>237</v>
      </c>
      <c r="G19" s="97" t="s">
        <v>209</v>
      </c>
      <c r="H19" s="97" t="s">
        <v>231</v>
      </c>
    </row>
    <row r="20">
      <c r="D20" s="97" t="s">
        <v>238</v>
      </c>
      <c r="E20" s="97" t="s">
        <v>239</v>
      </c>
      <c r="F20" s="98" t="s">
        <v>240</v>
      </c>
      <c r="G20" s="97" t="s">
        <v>209</v>
      </c>
      <c r="H20" s="97" t="s">
        <v>231</v>
      </c>
    </row>
    <row r="21">
      <c r="C21" s="103" t="s">
        <v>241</v>
      </c>
      <c r="E21" s="88" t="s">
        <v>242</v>
      </c>
      <c r="F21" s="91" t="s">
        <v>243</v>
      </c>
      <c r="G21" s="88" t="s">
        <v>209</v>
      </c>
      <c r="H21" s="88" t="s">
        <v>231</v>
      </c>
    </row>
    <row r="22">
      <c r="B22" s="104" t="s">
        <v>244</v>
      </c>
      <c r="C22" s="107"/>
      <c r="E22" s="108" t="s">
        <v>245</v>
      </c>
      <c r="F22" s="106" t="s">
        <v>246</v>
      </c>
      <c r="G22" s="106" t="s">
        <v>186</v>
      </c>
      <c r="H22" s="106" t="s">
        <v>196</v>
      </c>
    </row>
    <row r="23">
      <c r="C23" s="103" t="s">
        <v>247</v>
      </c>
      <c r="E23" s="87" t="s">
        <v>41</v>
      </c>
      <c r="F23" s="103" t="s">
        <v>248</v>
      </c>
      <c r="G23" s="88" t="s">
        <v>186</v>
      </c>
      <c r="H23" s="88" t="s">
        <v>202</v>
      </c>
    </row>
    <row r="24">
      <c r="C24" s="103" t="s">
        <v>249</v>
      </c>
      <c r="D24" s="103"/>
      <c r="E24" s="88" t="s">
        <v>250</v>
      </c>
      <c r="F24" s="91" t="s">
        <v>41</v>
      </c>
      <c r="G24" s="88" t="s">
        <v>186</v>
      </c>
      <c r="H24" s="90" t="s">
        <v>196</v>
      </c>
    </row>
    <row r="25">
      <c r="D25" s="97" t="s">
        <v>251</v>
      </c>
      <c r="E25" s="97" t="s">
        <v>252</v>
      </c>
      <c r="F25" s="98" t="s">
        <v>41</v>
      </c>
      <c r="G25" s="97" t="s">
        <v>186</v>
      </c>
      <c r="H25" s="99" t="s">
        <v>210</v>
      </c>
    </row>
    <row r="26">
      <c r="D26" s="97" t="s">
        <v>253</v>
      </c>
      <c r="E26" s="99" t="s">
        <v>254</v>
      </c>
      <c r="F26" s="98" t="s">
        <v>41</v>
      </c>
      <c r="G26" s="97" t="s">
        <v>186</v>
      </c>
      <c r="H26" s="99" t="s">
        <v>210</v>
      </c>
    </row>
    <row r="27">
      <c r="D27" s="97" t="s">
        <v>255</v>
      </c>
      <c r="E27" s="99" t="s">
        <v>256</v>
      </c>
      <c r="F27" s="98" t="s">
        <v>41</v>
      </c>
      <c r="G27" s="97" t="s">
        <v>186</v>
      </c>
      <c r="H27" s="99" t="s">
        <v>210</v>
      </c>
    </row>
    <row r="28">
      <c r="D28" s="97" t="s">
        <v>257</v>
      </c>
      <c r="E28" s="99" t="s">
        <v>258</v>
      </c>
      <c r="F28" s="98" t="s">
        <v>41</v>
      </c>
      <c r="G28" s="97" t="s">
        <v>186</v>
      </c>
      <c r="H28" s="99" t="s">
        <v>210</v>
      </c>
    </row>
    <row r="29">
      <c r="C29" s="103" t="s">
        <v>259</v>
      </c>
      <c r="E29" s="87" t="s">
        <v>41</v>
      </c>
      <c r="F29" s="103" t="s">
        <v>260</v>
      </c>
      <c r="G29" s="88" t="s">
        <v>186</v>
      </c>
      <c r="H29" s="88" t="s">
        <v>202</v>
      </c>
    </row>
    <row r="30">
      <c r="B30" s="104" t="s">
        <v>261</v>
      </c>
      <c r="E30" s="106" t="s">
        <v>262</v>
      </c>
      <c r="F30" s="104" t="s">
        <v>263</v>
      </c>
      <c r="G30" s="106" t="s">
        <v>209</v>
      </c>
      <c r="H30" s="106" t="s">
        <v>213</v>
      </c>
    </row>
    <row r="31">
      <c r="A31" s="92" t="s">
        <v>264</v>
      </c>
      <c r="B31" s="93"/>
      <c r="E31" s="84" t="s">
        <v>265</v>
      </c>
      <c r="F31" s="95" t="s">
        <v>41</v>
      </c>
      <c r="G31" s="84" t="s">
        <v>186</v>
      </c>
      <c r="H31" s="109" t="s">
        <v>196</v>
      </c>
    </row>
    <row r="32">
      <c r="B32" s="93"/>
      <c r="C32" s="88" t="s">
        <v>266</v>
      </c>
      <c r="D32" s="103"/>
      <c r="E32" s="88" t="s">
        <v>41</v>
      </c>
      <c r="F32" s="91" t="s">
        <v>41</v>
      </c>
      <c r="G32" s="88" t="s">
        <v>209</v>
      </c>
      <c r="H32" s="110" t="s">
        <v>267</v>
      </c>
    </row>
    <row r="33">
      <c r="D33" s="99" t="s">
        <v>268</v>
      </c>
      <c r="E33" s="97" t="s">
        <v>269</v>
      </c>
      <c r="F33" s="98" t="s">
        <v>270</v>
      </c>
      <c r="G33" s="97" t="s">
        <v>209</v>
      </c>
      <c r="H33" s="111" t="s">
        <v>271</v>
      </c>
    </row>
    <row r="34">
      <c r="C34" s="103" t="s">
        <v>272</v>
      </c>
      <c r="E34" s="87" t="s">
        <v>41</v>
      </c>
      <c r="F34" s="88" t="s">
        <v>273</v>
      </c>
      <c r="G34" s="88" t="s">
        <v>209</v>
      </c>
      <c r="H34" s="103" t="s">
        <v>210</v>
      </c>
    </row>
    <row r="35">
      <c r="C35" s="103" t="s">
        <v>274</v>
      </c>
      <c r="E35" s="88" t="s">
        <v>41</v>
      </c>
      <c r="F35" s="91" t="s">
        <v>41</v>
      </c>
      <c r="G35" s="88" t="s">
        <v>209</v>
      </c>
      <c r="H35" s="103" t="s">
        <v>210</v>
      </c>
    </row>
    <row r="36">
      <c r="B36" s="104" t="s">
        <v>275</v>
      </c>
      <c r="C36" s="106"/>
      <c r="E36" s="106" t="s">
        <v>41</v>
      </c>
      <c r="F36" s="104" t="s">
        <v>276</v>
      </c>
      <c r="G36" s="106" t="s">
        <v>186</v>
      </c>
      <c r="H36" s="106" t="s">
        <v>277</v>
      </c>
    </row>
    <row r="37">
      <c r="C37" s="88" t="s">
        <v>278</v>
      </c>
      <c r="D37" s="103"/>
      <c r="E37" s="88" t="s">
        <v>279</v>
      </c>
      <c r="F37" s="91" t="s">
        <v>41</v>
      </c>
      <c r="G37" s="88" t="s">
        <v>186</v>
      </c>
      <c r="H37" s="103" t="s">
        <v>210</v>
      </c>
    </row>
    <row r="38">
      <c r="D38" s="97" t="s">
        <v>280</v>
      </c>
      <c r="E38" s="100" t="s">
        <v>41</v>
      </c>
      <c r="F38" s="97" t="s">
        <v>281</v>
      </c>
      <c r="G38" s="97" t="s">
        <v>186</v>
      </c>
      <c r="H38" s="99" t="s">
        <v>282</v>
      </c>
    </row>
    <row r="39">
      <c r="D39" s="97" t="s">
        <v>283</v>
      </c>
      <c r="E39" s="97" t="s">
        <v>284</v>
      </c>
      <c r="F39" s="98" t="s">
        <v>285</v>
      </c>
      <c r="G39" s="97" t="s">
        <v>186</v>
      </c>
      <c r="H39" s="99" t="s">
        <v>210</v>
      </c>
    </row>
    <row r="40">
      <c r="D40" s="97" t="s">
        <v>286</v>
      </c>
      <c r="E40" s="97" t="s">
        <v>287</v>
      </c>
      <c r="F40" s="98" t="s">
        <v>288</v>
      </c>
      <c r="G40" s="97" t="s">
        <v>186</v>
      </c>
      <c r="H40" s="97" t="s">
        <v>289</v>
      </c>
    </row>
    <row r="41">
      <c r="D41" s="99" t="s">
        <v>290</v>
      </c>
      <c r="E41" s="99" t="s">
        <v>291</v>
      </c>
      <c r="F41" s="98" t="s">
        <v>41</v>
      </c>
      <c r="G41" s="97" t="s">
        <v>209</v>
      </c>
      <c r="H41" s="99" t="s">
        <v>210</v>
      </c>
    </row>
    <row r="42">
      <c r="D42" s="97" t="s">
        <v>292</v>
      </c>
      <c r="E42" s="97" t="s">
        <v>293</v>
      </c>
      <c r="F42" s="98" t="s">
        <v>294</v>
      </c>
      <c r="G42" s="97" t="s">
        <v>209</v>
      </c>
      <c r="H42" s="99" t="s">
        <v>210</v>
      </c>
    </row>
    <row r="43">
      <c r="C43" s="91" t="s">
        <v>295</v>
      </c>
      <c r="E43" s="88" t="s">
        <v>41</v>
      </c>
      <c r="F43" s="91" t="s">
        <v>296</v>
      </c>
      <c r="G43" s="88" t="s">
        <v>209</v>
      </c>
      <c r="H43" s="88" t="s">
        <v>210</v>
      </c>
    </row>
    <row r="44">
      <c r="B44" s="104" t="s">
        <v>297</v>
      </c>
      <c r="E44" s="106" t="s">
        <v>41</v>
      </c>
      <c r="F44" s="104" t="s">
        <v>298</v>
      </c>
      <c r="G44" s="106" t="s">
        <v>186</v>
      </c>
      <c r="H44" s="106" t="s">
        <v>299</v>
      </c>
    </row>
    <row r="45">
      <c r="A45" s="109" t="s">
        <v>300</v>
      </c>
      <c r="B45" s="109"/>
      <c r="E45" s="84" t="s">
        <v>301</v>
      </c>
      <c r="F45" s="95" t="s">
        <v>41</v>
      </c>
      <c r="G45" s="84" t="s">
        <v>186</v>
      </c>
      <c r="H45" s="84" t="s">
        <v>213</v>
      </c>
    </row>
    <row r="46">
      <c r="B46" s="109"/>
      <c r="C46" s="88" t="s">
        <v>302</v>
      </c>
      <c r="E46" s="87" t="s">
        <v>41</v>
      </c>
      <c r="F46" s="103" t="s">
        <v>303</v>
      </c>
      <c r="G46" s="88" t="s">
        <v>186</v>
      </c>
      <c r="H46" s="88" t="s">
        <v>202</v>
      </c>
    </row>
    <row r="47">
      <c r="C47" s="88" t="s">
        <v>304</v>
      </c>
      <c r="D47" s="103"/>
      <c r="E47" s="112" t="s">
        <v>305</v>
      </c>
      <c r="F47" s="88" t="s">
        <v>306</v>
      </c>
      <c r="G47" s="88" t="s">
        <v>186</v>
      </c>
      <c r="H47" s="89" t="s">
        <v>307</v>
      </c>
    </row>
    <row r="48">
      <c r="D48" s="99" t="s">
        <v>308</v>
      </c>
      <c r="E48" s="100" t="s">
        <v>41</v>
      </c>
      <c r="F48" s="97" t="s">
        <v>309</v>
      </c>
      <c r="G48" s="97" t="s">
        <v>209</v>
      </c>
      <c r="H48" s="97" t="s">
        <v>310</v>
      </c>
    </row>
    <row r="49">
      <c r="D49" s="97" t="s">
        <v>311</v>
      </c>
      <c r="E49" s="97" t="s">
        <v>312</v>
      </c>
      <c r="F49" s="113" t="s">
        <v>313</v>
      </c>
      <c r="G49" s="97" t="s">
        <v>186</v>
      </c>
      <c r="H49" s="97" t="s">
        <v>314</v>
      </c>
    </row>
    <row r="50">
      <c r="B50" s="106" t="s">
        <v>315</v>
      </c>
      <c r="E50" s="104" t="s">
        <v>316</v>
      </c>
      <c r="F50" s="106" t="s">
        <v>317</v>
      </c>
      <c r="G50" s="106" t="s">
        <v>186</v>
      </c>
      <c r="H50" s="106" t="s">
        <v>310</v>
      </c>
    </row>
    <row r="51">
      <c r="A51" s="92" t="s">
        <v>318</v>
      </c>
      <c r="C51" s="93"/>
      <c r="E51" s="84" t="s">
        <v>319</v>
      </c>
      <c r="F51" s="95" t="s">
        <v>41</v>
      </c>
      <c r="G51" s="84" t="s">
        <v>186</v>
      </c>
      <c r="H51" s="109"/>
    </row>
    <row r="52">
      <c r="C52" s="88" t="s">
        <v>320</v>
      </c>
      <c r="E52" s="88" t="s">
        <v>321</v>
      </c>
      <c r="F52" s="91" t="s">
        <v>41</v>
      </c>
      <c r="G52" s="88" t="s">
        <v>186</v>
      </c>
      <c r="H52" s="88" t="s">
        <v>205</v>
      </c>
    </row>
    <row r="53">
      <c r="C53" s="88" t="s">
        <v>322</v>
      </c>
      <c r="E53" s="114" t="s">
        <v>323</v>
      </c>
      <c r="F53" s="91" t="s">
        <v>41</v>
      </c>
      <c r="G53" s="88" t="s">
        <v>186</v>
      </c>
      <c r="H53" s="103" t="s">
        <v>324</v>
      </c>
    </row>
    <row r="54">
      <c r="C54" s="88" t="s">
        <v>325</v>
      </c>
      <c r="D54" s="103"/>
      <c r="E54" s="114" t="s">
        <v>326</v>
      </c>
      <c r="F54" s="91" t="s">
        <v>41</v>
      </c>
      <c r="G54" s="88" t="s">
        <v>186</v>
      </c>
      <c r="H54" s="103" t="s">
        <v>327</v>
      </c>
    </row>
    <row r="55">
      <c r="D55" s="97" t="s">
        <v>328</v>
      </c>
      <c r="E55" s="100" t="s">
        <v>41</v>
      </c>
      <c r="F55" s="97" t="s">
        <v>329</v>
      </c>
      <c r="G55" s="97" t="s">
        <v>209</v>
      </c>
      <c r="H55" s="99" t="s">
        <v>330</v>
      </c>
    </row>
    <row r="56">
      <c r="C56" s="88" t="s">
        <v>331</v>
      </c>
      <c r="E56" s="114" t="s">
        <v>332</v>
      </c>
      <c r="F56" s="91" t="s">
        <v>41</v>
      </c>
      <c r="G56" s="88" t="s">
        <v>186</v>
      </c>
      <c r="H56" s="103" t="s">
        <v>333</v>
      </c>
    </row>
    <row r="57">
      <c r="C57" s="88" t="s">
        <v>334</v>
      </c>
      <c r="E57" s="88" t="s">
        <v>41</v>
      </c>
      <c r="F57" s="91" t="s">
        <v>41</v>
      </c>
      <c r="G57" s="88" t="s">
        <v>186</v>
      </c>
      <c r="H57" s="88" t="s">
        <v>213</v>
      </c>
    </row>
    <row r="58">
      <c r="C58" s="88" t="s">
        <v>335</v>
      </c>
      <c r="E58" s="87" t="s">
        <v>41</v>
      </c>
      <c r="F58" s="115" t="s">
        <v>336</v>
      </c>
      <c r="G58" s="88" t="s">
        <v>209</v>
      </c>
      <c r="H58" s="103" t="s">
        <v>337</v>
      </c>
    </row>
    <row r="59">
      <c r="C59" s="88" t="s">
        <v>338</v>
      </c>
      <c r="E59" s="103" t="s">
        <v>339</v>
      </c>
      <c r="F59" s="91" t="s">
        <v>41</v>
      </c>
      <c r="G59" s="88" t="s">
        <v>186</v>
      </c>
      <c r="H59" s="116" t="s">
        <v>340</v>
      </c>
    </row>
    <row r="60">
      <c r="C60" s="89" t="s">
        <v>341</v>
      </c>
      <c r="E60" s="88" t="s">
        <v>41</v>
      </c>
      <c r="F60" s="91" t="s">
        <v>41</v>
      </c>
      <c r="G60" s="88" t="s">
        <v>186</v>
      </c>
      <c r="H60" s="88" t="s">
        <v>213</v>
      </c>
    </row>
    <row r="61">
      <c r="C61" s="89" t="s">
        <v>342</v>
      </c>
      <c r="E61" s="88" t="s">
        <v>41</v>
      </c>
      <c r="F61" s="91" t="s">
        <v>41</v>
      </c>
      <c r="G61" s="88" t="s">
        <v>186</v>
      </c>
      <c r="H61" s="88" t="s">
        <v>202</v>
      </c>
    </row>
  </sheetData>
  <autoFilter ref="$G$2:$G$18"/>
  <customSheetViews>
    <customSheetView guid="{C103ECE9-5D35-4A9E-9396-8F6D912E796E}" filter="1" showAutoFilter="1">
      <autoFilter ref="$G$2:$G$61"/>
    </customSheetView>
  </customSheetViews>
  <mergeCells count="50">
    <mergeCell ref="C37:C42"/>
    <mergeCell ref="C43:D43"/>
    <mergeCell ref="B31:D31"/>
    <mergeCell ref="B32:B35"/>
    <mergeCell ref="C32:C33"/>
    <mergeCell ref="C34:D34"/>
    <mergeCell ref="C35:D35"/>
    <mergeCell ref="B36:B43"/>
    <mergeCell ref="C36:D36"/>
    <mergeCell ref="C53:D53"/>
    <mergeCell ref="C54:C55"/>
    <mergeCell ref="C56:D56"/>
    <mergeCell ref="C57:D57"/>
    <mergeCell ref="C58:D58"/>
    <mergeCell ref="C59:D59"/>
    <mergeCell ref="C60:D60"/>
    <mergeCell ref="C61:D61"/>
    <mergeCell ref="B44:D44"/>
    <mergeCell ref="B45:D45"/>
    <mergeCell ref="B46:B49"/>
    <mergeCell ref="C46:D46"/>
    <mergeCell ref="C47:C49"/>
    <mergeCell ref="B50:D50"/>
    <mergeCell ref="A51:B61"/>
    <mergeCell ref="C7:D7"/>
    <mergeCell ref="B8:D8"/>
    <mergeCell ref="B9:B15"/>
    <mergeCell ref="C9:C14"/>
    <mergeCell ref="C15:D15"/>
    <mergeCell ref="B16:B21"/>
    <mergeCell ref="C16:D16"/>
    <mergeCell ref="C17:C20"/>
    <mergeCell ref="C21:D21"/>
    <mergeCell ref="B22:B29"/>
    <mergeCell ref="C22:D22"/>
    <mergeCell ref="C23:D23"/>
    <mergeCell ref="C24:C28"/>
    <mergeCell ref="C29:D29"/>
    <mergeCell ref="A8:A30"/>
    <mergeCell ref="A31:A44"/>
    <mergeCell ref="A45:A50"/>
    <mergeCell ref="A1:B1"/>
    <mergeCell ref="A3:B7"/>
    <mergeCell ref="C3:D3"/>
    <mergeCell ref="C4:D4"/>
    <mergeCell ref="C5:D5"/>
    <mergeCell ref="C6:D6"/>
    <mergeCell ref="B30:D30"/>
    <mergeCell ref="C51:D51"/>
    <mergeCell ref="C52:D52"/>
  </mergeCells>
  <hyperlinks>
    <hyperlink r:id="rId2" ref="H32"/>
    <hyperlink r:id="rId3" ref="H33"/>
    <hyperlink r:id="rId4" ref="F49"/>
    <hyperlink r:id="rId5" ref="E53"/>
    <hyperlink r:id="rId6" ref="E54"/>
    <hyperlink r:id="rId7" ref="E56"/>
    <hyperlink r:id="rId8" ref="F58"/>
    <hyperlink r:id="rId9" ref="H59"/>
  </hyperlinks>
  <drawing r:id="rId10"/>
  <legacy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7.88"/>
    <col customWidth="1" min="2" max="2" width="17.38"/>
    <col customWidth="1" min="3" max="3" width="22.5"/>
    <col customWidth="1" min="4" max="4" width="21.38"/>
    <col customWidth="1" min="5" max="5" width="56.5"/>
    <col customWidth="1" min="6" max="6" width="49.88"/>
    <col customWidth="1" min="7" max="7" width="11.25"/>
    <col customWidth="1" min="8" max="8" width="36.75"/>
  </cols>
  <sheetData>
    <row r="1" ht="24.75" customHeight="1">
      <c r="A1" s="75" t="s">
        <v>343</v>
      </c>
      <c r="C1" s="76" t="s">
        <v>179</v>
      </c>
      <c r="D1" s="77">
        <f>SUBTOTAL(103, G3:G17)</f>
        <v>15</v>
      </c>
      <c r="E1" s="56" t="s">
        <v>41</v>
      </c>
      <c r="F1" s="72" t="s">
        <v>41</v>
      </c>
      <c r="G1" s="72" t="s">
        <v>41</v>
      </c>
      <c r="H1" s="72" t="s">
        <v>41</v>
      </c>
    </row>
    <row r="2">
      <c r="A2" s="78" t="s">
        <v>180</v>
      </c>
      <c r="B2" s="79" t="s">
        <v>181</v>
      </c>
      <c r="C2" s="80" t="s">
        <v>45</v>
      </c>
      <c r="D2" s="79" t="s">
        <v>82</v>
      </c>
      <c r="E2" s="79" t="s">
        <v>182</v>
      </c>
      <c r="F2" s="79" t="s">
        <v>183</v>
      </c>
      <c r="G2" s="79" t="s">
        <v>63</v>
      </c>
      <c r="H2" s="80" t="s">
        <v>184</v>
      </c>
    </row>
    <row r="3">
      <c r="A3" s="61"/>
      <c r="C3" s="88" t="s">
        <v>344</v>
      </c>
      <c r="E3" s="88" t="s">
        <v>345</v>
      </c>
      <c r="F3" s="88" t="s">
        <v>346</v>
      </c>
      <c r="G3" s="88" t="s">
        <v>186</v>
      </c>
      <c r="H3" s="88" t="s">
        <v>347</v>
      </c>
    </row>
    <row r="4">
      <c r="A4" s="84" t="s">
        <v>348</v>
      </c>
      <c r="B4" s="84"/>
      <c r="E4" s="84" t="s">
        <v>349</v>
      </c>
      <c r="F4" s="84" t="s">
        <v>41</v>
      </c>
      <c r="G4" s="84" t="s">
        <v>186</v>
      </c>
      <c r="H4" s="109" t="s">
        <v>196</v>
      </c>
    </row>
    <row r="5" ht="123.0" customHeight="1">
      <c r="B5" s="117" t="s">
        <v>350</v>
      </c>
      <c r="E5" s="106" t="s">
        <v>351</v>
      </c>
      <c r="F5" s="106" t="s">
        <v>41</v>
      </c>
      <c r="G5" s="106" t="s">
        <v>186</v>
      </c>
      <c r="H5" s="106" t="s">
        <v>352</v>
      </c>
    </row>
    <row r="6" ht="67.5" customHeight="1">
      <c r="B6" s="117" t="s">
        <v>353</v>
      </c>
      <c r="E6" s="106" t="s">
        <v>354</v>
      </c>
      <c r="F6" s="106" t="s">
        <v>41</v>
      </c>
      <c r="G6" s="106" t="s">
        <v>186</v>
      </c>
      <c r="H6" s="118" t="s">
        <v>355</v>
      </c>
    </row>
    <row r="7" ht="67.5" customHeight="1">
      <c r="B7" s="117" t="s">
        <v>356</v>
      </c>
      <c r="E7" s="106" t="s">
        <v>357</v>
      </c>
      <c r="F7" s="106" t="s">
        <v>41</v>
      </c>
      <c r="G7" s="106" t="s">
        <v>186</v>
      </c>
      <c r="H7" s="106" t="s">
        <v>358</v>
      </c>
    </row>
    <row r="8" ht="69.0" customHeight="1">
      <c r="B8" s="106" t="s">
        <v>359</v>
      </c>
      <c r="E8" s="106" t="s">
        <v>360</v>
      </c>
      <c r="F8" s="106" t="s">
        <v>41</v>
      </c>
      <c r="G8" s="106" t="s">
        <v>186</v>
      </c>
      <c r="H8" s="118" t="s">
        <v>361</v>
      </c>
    </row>
    <row r="9" ht="125.25" customHeight="1">
      <c r="B9" s="106" t="s">
        <v>362</v>
      </c>
      <c r="E9" s="106" t="s">
        <v>363</v>
      </c>
      <c r="F9" s="106" t="s">
        <v>364</v>
      </c>
      <c r="G9" s="106" t="s">
        <v>186</v>
      </c>
      <c r="H9" s="106" t="s">
        <v>365</v>
      </c>
    </row>
    <row r="10" ht="41.25" customHeight="1">
      <c r="B10" s="106" t="s">
        <v>366</v>
      </c>
      <c r="E10" s="106" t="s">
        <v>367</v>
      </c>
      <c r="F10" s="118" t="s">
        <v>368</v>
      </c>
      <c r="G10" s="106" t="s">
        <v>186</v>
      </c>
      <c r="H10" s="106" t="s">
        <v>369</v>
      </c>
    </row>
    <row r="11" ht="51.0" customHeight="1">
      <c r="A11" s="84" t="s">
        <v>370</v>
      </c>
      <c r="B11" s="84"/>
      <c r="E11" s="84" t="s">
        <v>371</v>
      </c>
      <c r="F11" s="84" t="s">
        <v>41</v>
      </c>
      <c r="G11" s="84" t="s">
        <v>186</v>
      </c>
      <c r="H11" s="109" t="s">
        <v>196</v>
      </c>
    </row>
    <row r="12" ht="256.5" customHeight="1">
      <c r="B12" s="106" t="s">
        <v>372</v>
      </c>
      <c r="C12" s="107"/>
      <c r="E12" s="106" t="s">
        <v>373</v>
      </c>
      <c r="F12" s="106" t="s">
        <v>41</v>
      </c>
      <c r="G12" s="106" t="s">
        <v>186</v>
      </c>
      <c r="H12" s="106" t="s">
        <v>213</v>
      </c>
    </row>
    <row r="13">
      <c r="C13" s="88" t="s">
        <v>374</v>
      </c>
      <c r="E13" s="88" t="s">
        <v>375</v>
      </c>
      <c r="F13" s="88" t="s">
        <v>376</v>
      </c>
      <c r="G13" s="88" t="s">
        <v>209</v>
      </c>
      <c r="H13" s="88" t="s">
        <v>377</v>
      </c>
    </row>
    <row r="14" ht="95.25" customHeight="1">
      <c r="C14" s="88" t="s">
        <v>378</v>
      </c>
      <c r="D14" s="103"/>
      <c r="E14" s="88" t="s">
        <v>379</v>
      </c>
      <c r="F14" s="88" t="s">
        <v>41</v>
      </c>
      <c r="G14" s="88" t="s">
        <v>209</v>
      </c>
      <c r="H14" s="88" t="s">
        <v>380</v>
      </c>
    </row>
    <row r="15">
      <c r="D15" s="99" t="s">
        <v>381</v>
      </c>
      <c r="E15" s="97" t="s">
        <v>382</v>
      </c>
      <c r="F15" s="97" t="s">
        <v>41</v>
      </c>
      <c r="G15" s="97" t="s">
        <v>209</v>
      </c>
      <c r="H15" s="97" t="s">
        <v>205</v>
      </c>
    </row>
    <row r="16">
      <c r="D16" s="97" t="s">
        <v>383</v>
      </c>
      <c r="E16" s="97" t="s">
        <v>384</v>
      </c>
      <c r="F16" s="97" t="s">
        <v>385</v>
      </c>
      <c r="G16" s="97" t="s">
        <v>209</v>
      </c>
      <c r="H16" s="97" t="s">
        <v>205</v>
      </c>
    </row>
    <row r="17" ht="231.75" customHeight="1">
      <c r="B17" s="106" t="s">
        <v>386</v>
      </c>
      <c r="E17" s="106" t="s">
        <v>387</v>
      </c>
      <c r="F17" s="106" t="s">
        <v>388</v>
      </c>
      <c r="G17" s="106" t="s">
        <v>186</v>
      </c>
      <c r="H17" s="119" t="s">
        <v>389</v>
      </c>
    </row>
  </sheetData>
  <autoFilter ref="$G$2:$G$17"/>
  <customSheetViews>
    <customSheetView guid="{C103ECE9-5D35-4A9E-9396-8F6D912E796E}" filter="1" showAutoFilter="1">
      <autoFilter ref="$G$2:$G$17"/>
    </customSheetView>
  </customSheetViews>
  <mergeCells count="18">
    <mergeCell ref="B7:D7"/>
    <mergeCell ref="B8:D8"/>
    <mergeCell ref="B9:D9"/>
    <mergeCell ref="B10:D10"/>
    <mergeCell ref="B6:D6"/>
    <mergeCell ref="B11:D11"/>
    <mergeCell ref="B12:B16"/>
    <mergeCell ref="C12:D12"/>
    <mergeCell ref="C13:D13"/>
    <mergeCell ref="C14:C16"/>
    <mergeCell ref="A1:B1"/>
    <mergeCell ref="A3:B3"/>
    <mergeCell ref="C3:D3"/>
    <mergeCell ref="A4:A10"/>
    <mergeCell ref="B4:D4"/>
    <mergeCell ref="B5:D5"/>
    <mergeCell ref="A11:A17"/>
    <mergeCell ref="B17:D17"/>
  </mergeCells>
  <hyperlinks>
    <hyperlink r:id="rId2" ref="H6"/>
    <hyperlink r:id="rId3" ref="H8"/>
    <hyperlink r:id="rId4" ref="F10"/>
  </hyperlinks>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34.75"/>
    <col customWidth="1" min="2" max="3" width="22.5"/>
    <col customWidth="1" min="4" max="4" width="21.38"/>
    <col customWidth="1" min="5" max="5" width="46.63"/>
    <col customWidth="1" min="6" max="6" width="47.0"/>
    <col customWidth="1" min="7" max="7" width="11.38"/>
    <col customWidth="1" min="8" max="8" width="39.25"/>
  </cols>
  <sheetData>
    <row r="1" ht="24.75" customHeight="1">
      <c r="A1" s="75" t="s">
        <v>390</v>
      </c>
      <c r="C1" s="76" t="s">
        <v>179</v>
      </c>
      <c r="D1" s="77">
        <f>SUBTOTAL(103, G3:G14)</f>
        <v>12</v>
      </c>
      <c r="E1" s="56" t="s">
        <v>41</v>
      </c>
      <c r="F1" s="72" t="s">
        <v>41</v>
      </c>
      <c r="G1" s="72" t="s">
        <v>41</v>
      </c>
      <c r="H1" s="72" t="s">
        <v>41</v>
      </c>
    </row>
    <row r="2" ht="31.5" customHeight="1">
      <c r="A2" s="120" t="s">
        <v>180</v>
      </c>
      <c r="B2" s="121" t="s">
        <v>181</v>
      </c>
      <c r="C2" s="122" t="s">
        <v>45</v>
      </c>
      <c r="D2" s="121" t="s">
        <v>82</v>
      </c>
      <c r="E2" s="121" t="s">
        <v>182</v>
      </c>
      <c r="F2" s="121" t="s">
        <v>183</v>
      </c>
      <c r="G2" s="121" t="s">
        <v>63</v>
      </c>
      <c r="H2" s="122" t="s">
        <v>184</v>
      </c>
    </row>
    <row r="3">
      <c r="A3" s="123" t="s">
        <v>391</v>
      </c>
      <c r="B3" s="123"/>
      <c r="C3" s="124"/>
      <c r="D3" s="124"/>
      <c r="E3" s="94" t="s">
        <v>392</v>
      </c>
      <c r="F3" s="95" t="s">
        <v>393</v>
      </c>
      <c r="G3" s="94" t="s">
        <v>186</v>
      </c>
      <c r="H3" s="125" t="s">
        <v>196</v>
      </c>
    </row>
    <row r="4">
      <c r="B4" s="106" t="s">
        <v>394</v>
      </c>
      <c r="E4" s="106" t="s">
        <v>41</v>
      </c>
      <c r="F4" s="104" t="s">
        <v>395</v>
      </c>
      <c r="G4" s="106" t="s">
        <v>186</v>
      </c>
      <c r="H4" s="106" t="s">
        <v>396</v>
      </c>
    </row>
    <row r="5">
      <c r="B5" s="106" t="s">
        <v>397</v>
      </c>
      <c r="E5" s="106" t="s">
        <v>398</v>
      </c>
      <c r="F5" s="104" t="s">
        <v>399</v>
      </c>
      <c r="G5" s="106" t="s">
        <v>186</v>
      </c>
      <c r="H5" s="106" t="s">
        <v>400</v>
      </c>
    </row>
    <row r="6">
      <c r="B6" s="106" t="s">
        <v>401</v>
      </c>
      <c r="E6" s="106" t="s">
        <v>41</v>
      </c>
      <c r="F6" s="104" t="s">
        <v>402</v>
      </c>
      <c r="G6" s="106" t="s">
        <v>403</v>
      </c>
      <c r="H6" s="106" t="s">
        <v>213</v>
      </c>
    </row>
    <row r="7">
      <c r="A7" s="84" t="s">
        <v>404</v>
      </c>
      <c r="B7" s="82"/>
      <c r="E7" s="84" t="s">
        <v>405</v>
      </c>
      <c r="F7" s="95" t="s">
        <v>41</v>
      </c>
      <c r="G7" s="84" t="s">
        <v>186</v>
      </c>
      <c r="H7" s="84" t="s">
        <v>406</v>
      </c>
    </row>
    <row r="8">
      <c r="B8" s="109"/>
      <c r="C8" s="88" t="s">
        <v>407</v>
      </c>
      <c r="D8" s="103"/>
      <c r="E8" s="88" t="s">
        <v>408</v>
      </c>
      <c r="F8" s="91" t="s">
        <v>409</v>
      </c>
      <c r="G8" s="88" t="s">
        <v>209</v>
      </c>
      <c r="H8" s="88" t="s">
        <v>406</v>
      </c>
    </row>
    <row r="9">
      <c r="D9" s="97" t="s">
        <v>410</v>
      </c>
      <c r="E9" s="97" t="s">
        <v>411</v>
      </c>
      <c r="F9" s="98" t="s">
        <v>412</v>
      </c>
      <c r="G9" s="126" t="s">
        <v>403</v>
      </c>
      <c r="H9" s="97" t="s">
        <v>413</v>
      </c>
    </row>
    <row r="10">
      <c r="C10" s="88" t="s">
        <v>414</v>
      </c>
      <c r="E10" s="88" t="s">
        <v>415</v>
      </c>
      <c r="F10" s="91" t="s">
        <v>41</v>
      </c>
      <c r="G10" s="88" t="s">
        <v>209</v>
      </c>
      <c r="H10" s="88" t="s">
        <v>205</v>
      </c>
    </row>
    <row r="11">
      <c r="C11" s="88" t="s">
        <v>416</v>
      </c>
      <c r="E11" s="88" t="s">
        <v>417</v>
      </c>
      <c r="F11" s="91" t="s">
        <v>418</v>
      </c>
      <c r="G11" s="88" t="s">
        <v>209</v>
      </c>
      <c r="H11" s="88" t="s">
        <v>205</v>
      </c>
    </row>
    <row r="12">
      <c r="B12" s="106" t="s">
        <v>419</v>
      </c>
      <c r="E12" s="106" t="s">
        <v>420</v>
      </c>
      <c r="F12" s="104" t="s">
        <v>41</v>
      </c>
      <c r="G12" s="106" t="s">
        <v>209</v>
      </c>
      <c r="H12" s="106" t="s">
        <v>421</v>
      </c>
    </row>
    <row r="13">
      <c r="B13" s="106" t="s">
        <v>422</v>
      </c>
      <c r="E13" s="106" t="s">
        <v>423</v>
      </c>
      <c r="F13" s="104" t="s">
        <v>41</v>
      </c>
      <c r="G13" s="106" t="s">
        <v>209</v>
      </c>
      <c r="H13" s="106" t="s">
        <v>424</v>
      </c>
    </row>
    <row r="14">
      <c r="A14" s="84" t="s">
        <v>425</v>
      </c>
      <c r="E14" s="84" t="s">
        <v>426</v>
      </c>
      <c r="F14" s="95" t="s">
        <v>41</v>
      </c>
      <c r="G14" s="84" t="s">
        <v>186</v>
      </c>
      <c r="H14" s="84" t="s">
        <v>202</v>
      </c>
    </row>
  </sheetData>
  <autoFilter ref="$G$2:$G$14"/>
  <customSheetViews>
    <customSheetView guid="{C103ECE9-5D35-4A9E-9396-8F6D912E796E}" filter="1" showAutoFilter="1">
      <autoFilter ref="$G$2:$G$14"/>
    </customSheetView>
  </customSheetViews>
  <mergeCells count="15">
    <mergeCell ref="A7:A13"/>
    <mergeCell ref="B8:B11"/>
    <mergeCell ref="C8:C9"/>
    <mergeCell ref="C10:D10"/>
    <mergeCell ref="C11:D11"/>
    <mergeCell ref="B12:D12"/>
    <mergeCell ref="B13:D13"/>
    <mergeCell ref="A14:D14"/>
    <mergeCell ref="A1:B1"/>
    <mergeCell ref="A3:A6"/>
    <mergeCell ref="B3:D3"/>
    <mergeCell ref="B4:D4"/>
    <mergeCell ref="B5:D5"/>
    <mergeCell ref="B6:D6"/>
    <mergeCell ref="B7:D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8.13"/>
    <col customWidth="1" min="2" max="2" width="13.0"/>
    <col customWidth="1" min="3" max="3" width="19.13"/>
    <col customWidth="1" min="4" max="4" width="19.63"/>
    <col customWidth="1" min="5" max="6" width="46.5"/>
    <col customWidth="1" min="7" max="7" width="11.25"/>
    <col customWidth="1" min="8" max="8" width="75.25"/>
  </cols>
  <sheetData>
    <row r="1" ht="24.75" customHeight="1">
      <c r="A1" s="75" t="s">
        <v>427</v>
      </c>
      <c r="C1" s="76" t="s">
        <v>179</v>
      </c>
      <c r="D1" s="77">
        <f>SUBTOTAL(103, G3:G19)</f>
        <v>17</v>
      </c>
      <c r="E1" s="56" t="s">
        <v>41</v>
      </c>
      <c r="F1" s="72" t="s">
        <v>41</v>
      </c>
      <c r="G1" s="72" t="s">
        <v>41</v>
      </c>
      <c r="H1" s="72" t="s">
        <v>41</v>
      </c>
    </row>
    <row r="2" ht="28.5" customHeight="1">
      <c r="A2" s="120" t="s">
        <v>180</v>
      </c>
      <c r="B2" s="121" t="s">
        <v>181</v>
      </c>
      <c r="C2" s="122" t="s">
        <v>45</v>
      </c>
      <c r="D2" s="121" t="s">
        <v>82</v>
      </c>
      <c r="E2" s="127" t="s">
        <v>182</v>
      </c>
      <c r="F2" s="121" t="s">
        <v>183</v>
      </c>
      <c r="G2" s="121" t="s">
        <v>63</v>
      </c>
      <c r="H2" s="122" t="s">
        <v>184</v>
      </c>
    </row>
    <row r="3">
      <c r="A3" s="128"/>
      <c r="B3" s="124"/>
      <c r="C3" s="129" t="s">
        <v>428</v>
      </c>
      <c r="D3" s="130"/>
      <c r="E3" s="87" t="s">
        <v>41</v>
      </c>
      <c r="F3" s="129" t="s">
        <v>429</v>
      </c>
      <c r="G3" s="129" t="s">
        <v>186</v>
      </c>
      <c r="H3" s="129" t="s">
        <v>430</v>
      </c>
    </row>
    <row r="4">
      <c r="A4" s="131"/>
      <c r="D4" s="97" t="s">
        <v>431</v>
      </c>
      <c r="E4" s="99" t="s">
        <v>432</v>
      </c>
      <c r="F4" s="98" t="s">
        <v>41</v>
      </c>
      <c r="G4" s="97" t="s">
        <v>186</v>
      </c>
      <c r="H4" s="132" t="s">
        <v>433</v>
      </c>
    </row>
    <row r="5">
      <c r="A5" s="131"/>
      <c r="D5" s="97" t="s">
        <v>434</v>
      </c>
      <c r="E5" s="97" t="s">
        <v>435</v>
      </c>
      <c r="F5" s="98" t="s">
        <v>436</v>
      </c>
      <c r="G5" s="97" t="s">
        <v>186</v>
      </c>
      <c r="H5" s="132" t="s">
        <v>437</v>
      </c>
    </row>
    <row r="6">
      <c r="A6" s="131"/>
      <c r="D6" s="97" t="s">
        <v>438</v>
      </c>
      <c r="E6" s="126" t="s">
        <v>439</v>
      </c>
      <c r="F6" s="98" t="s">
        <v>41</v>
      </c>
      <c r="G6" s="97" t="s">
        <v>186</v>
      </c>
      <c r="H6" s="132" t="s">
        <v>433</v>
      </c>
    </row>
    <row r="7">
      <c r="A7" s="131"/>
      <c r="D7" s="97" t="s">
        <v>440</v>
      </c>
      <c r="E7" s="97" t="s">
        <v>441</v>
      </c>
      <c r="F7" s="98" t="s">
        <v>442</v>
      </c>
      <c r="G7" s="97" t="s">
        <v>186</v>
      </c>
      <c r="H7" s="132" t="s">
        <v>433</v>
      </c>
    </row>
    <row r="8">
      <c r="A8" s="131"/>
      <c r="C8" s="88" t="s">
        <v>443</v>
      </c>
      <c r="E8" s="86" t="s">
        <v>444</v>
      </c>
      <c r="F8" s="91" t="s">
        <v>445</v>
      </c>
      <c r="G8" s="88" t="s">
        <v>209</v>
      </c>
      <c r="H8" s="88" t="s">
        <v>446</v>
      </c>
    </row>
    <row r="9">
      <c r="A9" s="84" t="s">
        <v>447</v>
      </c>
      <c r="C9" s="109"/>
      <c r="E9" s="83" t="s">
        <v>41</v>
      </c>
      <c r="F9" s="84" t="s">
        <v>448</v>
      </c>
      <c r="G9" s="84" t="s">
        <v>186</v>
      </c>
      <c r="H9" s="82" t="s">
        <v>449</v>
      </c>
    </row>
    <row r="10">
      <c r="C10" s="103" t="s">
        <v>450</v>
      </c>
      <c r="E10" s="87" t="s">
        <v>41</v>
      </c>
      <c r="F10" s="88" t="s">
        <v>451</v>
      </c>
      <c r="G10" s="133" t="s">
        <v>186</v>
      </c>
      <c r="H10" s="133" t="s">
        <v>452</v>
      </c>
    </row>
    <row r="11">
      <c r="C11" s="103" t="s">
        <v>453</v>
      </c>
      <c r="E11" s="88" t="s">
        <v>41</v>
      </c>
      <c r="F11" s="88" t="s">
        <v>41</v>
      </c>
      <c r="G11" s="88" t="s">
        <v>186</v>
      </c>
      <c r="H11" s="88" t="s">
        <v>454</v>
      </c>
    </row>
    <row r="12">
      <c r="C12" s="103" t="s">
        <v>455</v>
      </c>
      <c r="E12" s="87" t="s">
        <v>41</v>
      </c>
      <c r="F12" s="103" t="s">
        <v>456</v>
      </c>
      <c r="G12" s="88" t="s">
        <v>186</v>
      </c>
      <c r="H12" s="88" t="s">
        <v>457</v>
      </c>
    </row>
    <row r="13">
      <c r="A13" s="84" t="s">
        <v>458</v>
      </c>
      <c r="C13" s="109"/>
      <c r="E13" s="83" t="s">
        <v>41</v>
      </c>
      <c r="F13" s="84" t="s">
        <v>459</v>
      </c>
      <c r="G13" s="84" t="s">
        <v>186</v>
      </c>
      <c r="H13" s="84" t="s">
        <v>460</v>
      </c>
    </row>
    <row r="14">
      <c r="C14" s="88" t="s">
        <v>461</v>
      </c>
      <c r="E14" s="87" t="s">
        <v>41</v>
      </c>
      <c r="F14" s="103" t="s">
        <v>462</v>
      </c>
      <c r="G14" s="88" t="s">
        <v>209</v>
      </c>
      <c r="H14" s="103" t="s">
        <v>463</v>
      </c>
    </row>
    <row r="15">
      <c r="A15" s="134" t="s">
        <v>464</v>
      </c>
      <c r="B15" s="134"/>
      <c r="E15" s="84" t="s">
        <v>465</v>
      </c>
      <c r="F15" s="95" t="s">
        <v>466</v>
      </c>
      <c r="G15" s="84" t="s">
        <v>186</v>
      </c>
      <c r="H15" s="84" t="s">
        <v>467</v>
      </c>
    </row>
    <row r="16">
      <c r="B16" s="135" t="s">
        <v>468</v>
      </c>
      <c r="E16" s="136" t="s">
        <v>41</v>
      </c>
      <c r="F16" s="106" t="s">
        <v>469</v>
      </c>
      <c r="G16" s="106" t="s">
        <v>209</v>
      </c>
      <c r="H16" s="106" t="s">
        <v>470</v>
      </c>
    </row>
    <row r="17">
      <c r="B17" s="106" t="s">
        <v>471</v>
      </c>
      <c r="E17" s="136" t="s">
        <v>41</v>
      </c>
      <c r="F17" s="106" t="s">
        <v>472</v>
      </c>
      <c r="G17" s="118" t="s">
        <v>209</v>
      </c>
      <c r="H17" s="137" t="s">
        <v>473</v>
      </c>
    </row>
    <row r="18">
      <c r="A18" s="84" t="s">
        <v>474</v>
      </c>
      <c r="B18" s="84"/>
      <c r="E18" s="84" t="s">
        <v>475</v>
      </c>
      <c r="F18" s="95" t="s">
        <v>476</v>
      </c>
      <c r="G18" s="84" t="s">
        <v>209</v>
      </c>
      <c r="H18" s="109" t="s">
        <v>477</v>
      </c>
    </row>
    <row r="19">
      <c r="B19" s="104" t="s">
        <v>478</v>
      </c>
      <c r="E19" s="104" t="s">
        <v>479</v>
      </c>
      <c r="F19" s="104" t="s">
        <v>480</v>
      </c>
      <c r="G19" s="104" t="s">
        <v>403</v>
      </c>
      <c r="H19" s="104" t="s">
        <v>481</v>
      </c>
    </row>
  </sheetData>
  <autoFilter ref="$G$2:$G$19"/>
  <customSheetViews>
    <customSheetView guid="{C103ECE9-5D35-4A9E-9396-8F6D912E796E}" filter="1" showAutoFilter="1">
      <autoFilter ref="$G$2:$G$19"/>
    </customSheetView>
  </customSheetViews>
  <mergeCells count="24">
    <mergeCell ref="A9:B12"/>
    <mergeCell ref="A13:B14"/>
    <mergeCell ref="A15:A17"/>
    <mergeCell ref="A18:A19"/>
    <mergeCell ref="A1:B1"/>
    <mergeCell ref="A3:B3"/>
    <mergeCell ref="C3:C7"/>
    <mergeCell ref="A4:B4"/>
    <mergeCell ref="A5:B5"/>
    <mergeCell ref="A6:B6"/>
    <mergeCell ref="A7:B7"/>
    <mergeCell ref="C14:D14"/>
    <mergeCell ref="B15:D15"/>
    <mergeCell ref="B16:D16"/>
    <mergeCell ref="B17:D17"/>
    <mergeCell ref="B18:D18"/>
    <mergeCell ref="B19:D19"/>
    <mergeCell ref="A8:B8"/>
    <mergeCell ref="C8:D8"/>
    <mergeCell ref="C9:D9"/>
    <mergeCell ref="C10:D10"/>
    <mergeCell ref="C11:D11"/>
    <mergeCell ref="C12:D12"/>
    <mergeCell ref="C13:D13"/>
  </mergeCells>
  <hyperlinks>
    <hyperlink r:id="rId2" ref="G10"/>
    <hyperlink r:id="rId3" ref="H10"/>
    <hyperlink r:id="rId4" ref="G17"/>
    <hyperlink r:id="rId5" ref="H17"/>
  </hyperlinks>
  <printOptions gridLines="1" horizontalCentered="1"/>
  <pageMargins bottom="0.75" footer="0.0" header="0.0" left="0.7" right="0.7" top="0.75"/>
  <pageSetup fitToWidth="0" paperSize="8" cellComments="atEnd" orientation="landscape" pageOrder="overThenDown"/>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1.5"/>
    <col customWidth="1" min="2" max="2" width="11.38"/>
    <col customWidth="1" min="3" max="3" width="22.25"/>
    <col customWidth="1" min="4" max="4" width="21.38"/>
    <col customWidth="1" min="5" max="5" width="48.25"/>
    <col customWidth="1" min="6" max="6" width="49.0"/>
    <col customWidth="1" min="7" max="7" width="11.38"/>
    <col customWidth="1" min="8" max="8" width="75.25"/>
  </cols>
  <sheetData>
    <row r="1" ht="24.75" customHeight="1">
      <c r="A1" s="75" t="s">
        <v>482</v>
      </c>
      <c r="C1" s="76" t="s">
        <v>179</v>
      </c>
      <c r="D1" s="77">
        <f>SUBTOTAL(103, G3:G29)</f>
        <v>27</v>
      </c>
      <c r="E1" s="56" t="s">
        <v>41</v>
      </c>
      <c r="F1" s="72" t="s">
        <v>41</v>
      </c>
      <c r="G1" s="72" t="s">
        <v>41</v>
      </c>
      <c r="H1" s="72" t="s">
        <v>41</v>
      </c>
    </row>
    <row r="2">
      <c r="A2" s="78" t="s">
        <v>180</v>
      </c>
      <c r="B2" s="79" t="s">
        <v>181</v>
      </c>
      <c r="C2" s="80" t="s">
        <v>45</v>
      </c>
      <c r="D2" s="79" t="s">
        <v>82</v>
      </c>
      <c r="E2" s="79" t="s">
        <v>182</v>
      </c>
      <c r="F2" s="79" t="s">
        <v>183</v>
      </c>
      <c r="G2" s="79" t="s">
        <v>63</v>
      </c>
      <c r="H2" s="80" t="s">
        <v>184</v>
      </c>
    </row>
    <row r="3">
      <c r="A3" s="84" t="s">
        <v>483</v>
      </c>
      <c r="C3" s="82"/>
      <c r="E3" s="83" t="s">
        <v>41</v>
      </c>
      <c r="F3" s="109" t="s">
        <v>484</v>
      </c>
      <c r="G3" s="84" t="s">
        <v>186</v>
      </c>
      <c r="H3" s="84" t="s">
        <v>485</v>
      </c>
    </row>
    <row r="4">
      <c r="C4" s="88" t="s">
        <v>486</v>
      </c>
      <c r="D4" s="86"/>
      <c r="E4" s="88" t="s">
        <v>487</v>
      </c>
      <c r="F4" s="91" t="s">
        <v>488</v>
      </c>
      <c r="G4" s="88" t="s">
        <v>186</v>
      </c>
      <c r="H4" s="88" t="s">
        <v>489</v>
      </c>
    </row>
    <row r="5">
      <c r="D5" s="97" t="s">
        <v>490</v>
      </c>
      <c r="E5" s="97" t="s">
        <v>491</v>
      </c>
      <c r="F5" s="98" t="s">
        <v>492</v>
      </c>
      <c r="G5" s="97" t="s">
        <v>186</v>
      </c>
      <c r="H5" s="111" t="s">
        <v>493</v>
      </c>
    </row>
    <row r="6">
      <c r="D6" s="97" t="s">
        <v>494</v>
      </c>
      <c r="E6" s="97" t="s">
        <v>495</v>
      </c>
      <c r="F6" s="98" t="s">
        <v>496</v>
      </c>
      <c r="G6" s="97" t="s">
        <v>186</v>
      </c>
      <c r="H6" s="97" t="s">
        <v>497</v>
      </c>
    </row>
    <row r="7">
      <c r="D7" s="97" t="s">
        <v>498</v>
      </c>
      <c r="E7" s="97" t="s">
        <v>499</v>
      </c>
      <c r="F7" s="98" t="s">
        <v>41</v>
      </c>
      <c r="G7" s="111" t="s">
        <v>209</v>
      </c>
      <c r="H7" s="138" t="s">
        <v>500</v>
      </c>
    </row>
    <row r="8">
      <c r="C8" s="103" t="s">
        <v>501</v>
      </c>
      <c r="E8" s="88" t="s">
        <v>502</v>
      </c>
      <c r="F8" s="91" t="s">
        <v>503</v>
      </c>
      <c r="G8" s="88" t="s">
        <v>209</v>
      </c>
      <c r="H8" s="86" t="s">
        <v>504</v>
      </c>
    </row>
    <row r="9">
      <c r="C9" s="88" t="s">
        <v>505</v>
      </c>
      <c r="E9" s="88" t="s">
        <v>506</v>
      </c>
      <c r="F9" s="91" t="s">
        <v>507</v>
      </c>
      <c r="G9" s="88" t="s">
        <v>186</v>
      </c>
      <c r="H9" s="103" t="s">
        <v>508</v>
      </c>
    </row>
    <row r="10">
      <c r="C10" s="88" t="s">
        <v>509</v>
      </c>
      <c r="E10" s="88" t="s">
        <v>444</v>
      </c>
      <c r="F10" s="139" t="s">
        <v>510</v>
      </c>
      <c r="G10" s="88" t="s">
        <v>209</v>
      </c>
      <c r="H10" s="133" t="s">
        <v>511</v>
      </c>
    </row>
    <row r="11">
      <c r="C11" s="88" t="s">
        <v>512</v>
      </c>
      <c r="E11" s="88" t="s">
        <v>513</v>
      </c>
      <c r="F11" s="91" t="s">
        <v>514</v>
      </c>
      <c r="G11" s="88" t="s">
        <v>186</v>
      </c>
      <c r="H11" s="103" t="s">
        <v>369</v>
      </c>
    </row>
    <row r="12">
      <c r="A12" s="85" t="s">
        <v>515</v>
      </c>
      <c r="C12" s="109"/>
      <c r="E12" s="84" t="s">
        <v>41</v>
      </c>
      <c r="F12" s="84" t="s">
        <v>41</v>
      </c>
      <c r="G12" s="84" t="s">
        <v>186</v>
      </c>
      <c r="H12" s="84" t="s">
        <v>205</v>
      </c>
    </row>
    <row r="13">
      <c r="C13" s="88" t="s">
        <v>516</v>
      </c>
      <c r="E13" s="88" t="s">
        <v>41</v>
      </c>
      <c r="F13" s="88" t="s">
        <v>41</v>
      </c>
      <c r="G13" s="88" t="s">
        <v>186</v>
      </c>
      <c r="H13" s="140" t="s">
        <v>517</v>
      </c>
    </row>
    <row r="14">
      <c r="C14" s="88" t="s">
        <v>518</v>
      </c>
      <c r="E14" s="88" t="s">
        <v>41</v>
      </c>
      <c r="F14" s="89" t="s">
        <v>519</v>
      </c>
      <c r="G14" s="88" t="s">
        <v>186</v>
      </c>
      <c r="H14" s="140" t="s">
        <v>517</v>
      </c>
    </row>
    <row r="15">
      <c r="C15" s="88" t="s">
        <v>520</v>
      </c>
      <c r="E15" s="88" t="s">
        <v>41</v>
      </c>
      <c r="F15" s="89" t="s">
        <v>521</v>
      </c>
      <c r="G15" s="88" t="s">
        <v>186</v>
      </c>
      <c r="H15" s="140" t="s">
        <v>517</v>
      </c>
    </row>
    <row r="16">
      <c r="C16" s="103" t="s">
        <v>522</v>
      </c>
      <c r="E16" s="88" t="s">
        <v>41</v>
      </c>
      <c r="F16" s="88" t="s">
        <v>41</v>
      </c>
      <c r="G16" s="88" t="s">
        <v>186</v>
      </c>
      <c r="H16" s="89" t="s">
        <v>213</v>
      </c>
    </row>
    <row r="17">
      <c r="A17" s="84" t="s">
        <v>523</v>
      </c>
      <c r="C17" s="109"/>
      <c r="E17" s="84" t="s">
        <v>524</v>
      </c>
      <c r="F17" s="95" t="s">
        <v>41</v>
      </c>
      <c r="G17" s="84" t="s">
        <v>186</v>
      </c>
      <c r="H17" s="84" t="s">
        <v>196</v>
      </c>
    </row>
    <row r="18" ht="84.0" customHeight="1">
      <c r="C18" s="88" t="s">
        <v>525</v>
      </c>
      <c r="D18" s="103"/>
      <c r="E18" s="103" t="s">
        <v>444</v>
      </c>
      <c r="F18" s="139" t="s">
        <v>526</v>
      </c>
      <c r="G18" s="88" t="s">
        <v>186</v>
      </c>
      <c r="H18" s="88" t="s">
        <v>527</v>
      </c>
    </row>
    <row r="19">
      <c r="D19" s="97" t="s">
        <v>528</v>
      </c>
      <c r="E19" s="97" t="s">
        <v>529</v>
      </c>
      <c r="F19" s="97" t="s">
        <v>530</v>
      </c>
      <c r="G19" s="97" t="s">
        <v>186</v>
      </c>
      <c r="H19" s="97" t="s">
        <v>531</v>
      </c>
    </row>
    <row r="20">
      <c r="D20" s="99" t="s">
        <v>532</v>
      </c>
      <c r="E20" s="97" t="s">
        <v>533</v>
      </c>
      <c r="F20" s="98" t="s">
        <v>41</v>
      </c>
      <c r="G20" s="97" t="s">
        <v>209</v>
      </c>
      <c r="H20" s="99" t="s">
        <v>534</v>
      </c>
    </row>
    <row r="21">
      <c r="A21" s="84" t="s">
        <v>535</v>
      </c>
      <c r="C21" s="109"/>
      <c r="E21" s="84" t="s">
        <v>536</v>
      </c>
      <c r="F21" s="95" t="s">
        <v>41</v>
      </c>
      <c r="G21" s="84" t="s">
        <v>186</v>
      </c>
      <c r="H21" s="84" t="s">
        <v>77</v>
      </c>
    </row>
    <row r="22">
      <c r="C22" s="88" t="s">
        <v>537</v>
      </c>
      <c r="E22" s="88" t="s">
        <v>538</v>
      </c>
      <c r="F22" s="91" t="s">
        <v>539</v>
      </c>
      <c r="G22" s="133" t="s">
        <v>186</v>
      </c>
      <c r="H22" s="133" t="s">
        <v>540</v>
      </c>
    </row>
    <row r="23">
      <c r="A23" s="93" t="s">
        <v>541</v>
      </c>
      <c r="B23" s="93"/>
      <c r="C23" s="93"/>
      <c r="E23" s="95" t="s">
        <v>41</v>
      </c>
      <c r="F23" s="95" t="s">
        <v>41</v>
      </c>
      <c r="G23" s="95" t="s">
        <v>186</v>
      </c>
      <c r="H23" s="95" t="s">
        <v>542</v>
      </c>
    </row>
    <row r="24">
      <c r="C24" s="141" t="s">
        <v>543</v>
      </c>
      <c r="D24" s="141"/>
      <c r="E24" s="141" t="s">
        <v>544</v>
      </c>
      <c r="F24" s="91" t="s">
        <v>41</v>
      </c>
      <c r="G24" s="91" t="s">
        <v>186</v>
      </c>
      <c r="H24" s="91" t="s">
        <v>542</v>
      </c>
    </row>
    <row r="25">
      <c r="D25" s="142" t="s">
        <v>545</v>
      </c>
      <c r="E25" s="142" t="s">
        <v>546</v>
      </c>
      <c r="F25" s="98" t="s">
        <v>547</v>
      </c>
      <c r="G25" s="98" t="s">
        <v>186</v>
      </c>
      <c r="H25" s="98" t="s">
        <v>548</v>
      </c>
    </row>
    <row r="26">
      <c r="D26" s="142" t="s">
        <v>549</v>
      </c>
      <c r="E26" s="98" t="s">
        <v>550</v>
      </c>
      <c r="F26" s="98" t="s">
        <v>551</v>
      </c>
      <c r="G26" s="98" t="s">
        <v>186</v>
      </c>
      <c r="H26" s="98" t="s">
        <v>548</v>
      </c>
    </row>
    <row r="27">
      <c r="C27" s="141" t="s">
        <v>552</v>
      </c>
      <c r="E27" s="141" t="s">
        <v>553</v>
      </c>
      <c r="F27" s="141" t="s">
        <v>554</v>
      </c>
      <c r="G27" s="91" t="s">
        <v>186</v>
      </c>
      <c r="H27" s="91" t="s">
        <v>555</v>
      </c>
    </row>
    <row r="28">
      <c r="C28" s="141" t="s">
        <v>556</v>
      </c>
      <c r="E28" s="141" t="s">
        <v>557</v>
      </c>
      <c r="F28" s="91" t="s">
        <v>41</v>
      </c>
      <c r="G28" s="91" t="s">
        <v>209</v>
      </c>
      <c r="H28" s="91" t="s">
        <v>205</v>
      </c>
    </row>
    <row r="29">
      <c r="B29" s="106" t="s">
        <v>558</v>
      </c>
      <c r="E29" s="106" t="s">
        <v>559</v>
      </c>
      <c r="F29" s="104" t="s">
        <v>560</v>
      </c>
      <c r="G29" s="106" t="s">
        <v>186</v>
      </c>
      <c r="H29" s="106" t="s">
        <v>561</v>
      </c>
    </row>
  </sheetData>
  <autoFilter ref="$G$2:$G$29"/>
  <customSheetViews>
    <customSheetView guid="{C103ECE9-5D35-4A9E-9396-8F6D912E796E}" filter="1" showAutoFilter="1">
      <autoFilter ref="$G$2:$G$29"/>
    </customSheetView>
  </customSheetViews>
  <mergeCells count="27">
    <mergeCell ref="A3:B11"/>
    <mergeCell ref="A12:B16"/>
    <mergeCell ref="A17:B20"/>
    <mergeCell ref="A21:B22"/>
    <mergeCell ref="A23:A29"/>
    <mergeCell ref="B23:B28"/>
    <mergeCell ref="A1:B1"/>
    <mergeCell ref="C3:D3"/>
    <mergeCell ref="C4:C7"/>
    <mergeCell ref="C8:D8"/>
    <mergeCell ref="C9:D9"/>
    <mergeCell ref="C10:D10"/>
    <mergeCell ref="C11:D11"/>
    <mergeCell ref="C21:D21"/>
    <mergeCell ref="C22:D22"/>
    <mergeCell ref="C23:D23"/>
    <mergeCell ref="C24:C26"/>
    <mergeCell ref="C27:D27"/>
    <mergeCell ref="C28:D28"/>
    <mergeCell ref="B29:D29"/>
    <mergeCell ref="C12:D12"/>
    <mergeCell ref="C13:D13"/>
    <mergeCell ref="C14:D14"/>
    <mergeCell ref="C15:D15"/>
    <mergeCell ref="C16:D16"/>
    <mergeCell ref="C17:D17"/>
    <mergeCell ref="C18:C20"/>
  </mergeCells>
  <hyperlinks>
    <hyperlink r:id="rId2" ref="H5"/>
    <hyperlink r:id="rId3" location=".Yv5y13bMLIW" ref="G7"/>
    <hyperlink r:id="rId4" location=".Yv5y13bMLIW" ref="H7"/>
    <hyperlink r:id="rId5" ref="F10"/>
    <hyperlink r:id="rId6" ref="H10"/>
    <hyperlink r:id="rId7" ref="H13"/>
    <hyperlink r:id="rId8" ref="H14"/>
    <hyperlink r:id="rId9" ref="H15"/>
    <hyperlink r:id="rId10" ref="F18"/>
    <hyperlink r:id="rId11" ref="G22"/>
    <hyperlink r:id="rId12" ref="H22"/>
  </hyperlinks>
  <drawing r:id="rId13"/>
  <legacyDrawing r:id="rId1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3.25"/>
    <col customWidth="1" min="2" max="2" width="16.38"/>
    <col customWidth="1" min="3" max="3" width="17.0"/>
    <col customWidth="1" min="4" max="4" width="18.38"/>
    <col customWidth="1" min="5" max="6" width="54.0"/>
    <col customWidth="1" min="7" max="7" width="11.5"/>
    <col customWidth="1" min="8" max="8" width="75.25"/>
  </cols>
  <sheetData>
    <row r="1" ht="24.75" customHeight="1">
      <c r="A1" s="75" t="s">
        <v>562</v>
      </c>
      <c r="C1" s="76" t="s">
        <v>179</v>
      </c>
      <c r="D1" s="77">
        <f>SUBTOTAL(103, G3:G23)</f>
        <v>21</v>
      </c>
      <c r="E1" s="72" t="s">
        <v>41</v>
      </c>
      <c r="F1" s="72" t="s">
        <v>41</v>
      </c>
      <c r="G1" s="72" t="s">
        <v>41</v>
      </c>
      <c r="H1" s="72" t="s">
        <v>41</v>
      </c>
    </row>
    <row r="2" ht="28.5" customHeight="1">
      <c r="A2" s="78" t="s">
        <v>180</v>
      </c>
      <c r="B2" s="79" t="s">
        <v>181</v>
      </c>
      <c r="C2" s="80" t="s">
        <v>45</v>
      </c>
      <c r="D2" s="79" t="s">
        <v>82</v>
      </c>
      <c r="E2" s="79" t="s">
        <v>182</v>
      </c>
      <c r="F2" s="79" t="s">
        <v>183</v>
      </c>
      <c r="G2" s="79" t="s">
        <v>63</v>
      </c>
      <c r="H2" s="80" t="s">
        <v>184</v>
      </c>
    </row>
    <row r="3">
      <c r="A3" s="143"/>
      <c r="C3" s="88" t="s">
        <v>563</v>
      </c>
      <c r="E3" s="91" t="s">
        <v>41</v>
      </c>
      <c r="F3" s="88" t="s">
        <v>41</v>
      </c>
      <c r="G3" s="88" t="s">
        <v>209</v>
      </c>
      <c r="H3" s="88" t="s">
        <v>564</v>
      </c>
    </row>
    <row r="4">
      <c r="A4" s="84" t="s">
        <v>565</v>
      </c>
      <c r="B4" s="93"/>
      <c r="E4" s="95" t="s">
        <v>566</v>
      </c>
      <c r="F4" s="94" t="s">
        <v>567</v>
      </c>
      <c r="G4" s="95" t="s">
        <v>186</v>
      </c>
      <c r="H4" s="94" t="s">
        <v>196</v>
      </c>
    </row>
    <row r="5">
      <c r="B5" s="104" t="s">
        <v>568</v>
      </c>
      <c r="C5" s="106"/>
      <c r="E5" s="104" t="s">
        <v>569</v>
      </c>
      <c r="F5" s="106" t="s">
        <v>41</v>
      </c>
      <c r="G5" s="106" t="s">
        <v>186</v>
      </c>
      <c r="H5" s="104" t="s">
        <v>570</v>
      </c>
    </row>
    <row r="6">
      <c r="C6" s="88" t="s">
        <v>571</v>
      </c>
      <c r="E6" s="91" t="s">
        <v>41</v>
      </c>
      <c r="F6" s="88" t="s">
        <v>572</v>
      </c>
      <c r="G6" s="88" t="s">
        <v>186</v>
      </c>
      <c r="H6" s="91" t="s">
        <v>573</v>
      </c>
    </row>
    <row r="7">
      <c r="C7" s="88" t="s">
        <v>574</v>
      </c>
      <c r="E7" s="91" t="s">
        <v>41</v>
      </c>
      <c r="F7" s="88" t="s">
        <v>575</v>
      </c>
      <c r="G7" s="88" t="s">
        <v>209</v>
      </c>
      <c r="H7" s="91" t="s">
        <v>196</v>
      </c>
    </row>
    <row r="8">
      <c r="C8" s="88" t="s">
        <v>576</v>
      </c>
      <c r="E8" s="88" t="s">
        <v>577</v>
      </c>
      <c r="F8" s="91" t="s">
        <v>41</v>
      </c>
      <c r="G8" s="88" t="s">
        <v>209</v>
      </c>
      <c r="H8" s="91" t="s">
        <v>196</v>
      </c>
    </row>
    <row r="9">
      <c r="B9" s="104" t="s">
        <v>578</v>
      </c>
      <c r="C9" s="106"/>
      <c r="E9" s="104" t="s">
        <v>579</v>
      </c>
      <c r="F9" s="106" t="s">
        <v>41</v>
      </c>
      <c r="G9" s="106" t="s">
        <v>186</v>
      </c>
      <c r="H9" s="104" t="s">
        <v>580</v>
      </c>
    </row>
    <row r="10">
      <c r="C10" s="88" t="s">
        <v>581</v>
      </c>
      <c r="E10" s="91" t="s">
        <v>41</v>
      </c>
      <c r="F10" s="88" t="s">
        <v>582</v>
      </c>
      <c r="G10" s="88" t="s">
        <v>186</v>
      </c>
      <c r="H10" s="91" t="s">
        <v>583</v>
      </c>
    </row>
    <row r="11" ht="63.75" customHeight="1">
      <c r="C11" s="88" t="s">
        <v>584</v>
      </c>
      <c r="E11" s="88" t="s">
        <v>585</v>
      </c>
      <c r="F11" s="88" t="s">
        <v>41</v>
      </c>
      <c r="G11" s="88" t="s">
        <v>209</v>
      </c>
      <c r="H11" s="91" t="s">
        <v>586</v>
      </c>
    </row>
    <row r="12">
      <c r="B12" s="104" t="s">
        <v>587</v>
      </c>
      <c r="C12" s="106"/>
      <c r="E12" s="104" t="s">
        <v>41</v>
      </c>
      <c r="F12" s="106" t="s">
        <v>41</v>
      </c>
      <c r="G12" s="104" t="s">
        <v>209</v>
      </c>
      <c r="H12" s="106" t="s">
        <v>205</v>
      </c>
    </row>
    <row r="13">
      <c r="C13" s="88" t="s">
        <v>588</v>
      </c>
      <c r="E13" s="91" t="s">
        <v>589</v>
      </c>
      <c r="F13" s="88" t="s">
        <v>590</v>
      </c>
      <c r="G13" s="91" t="s">
        <v>209</v>
      </c>
      <c r="H13" s="88" t="s">
        <v>591</v>
      </c>
    </row>
    <row r="14" ht="39.0" customHeight="1">
      <c r="C14" s="144" t="s">
        <v>592</v>
      </c>
      <c r="E14" s="91" t="s">
        <v>41</v>
      </c>
      <c r="F14" s="144" t="s">
        <v>593</v>
      </c>
      <c r="G14" s="88" t="s">
        <v>209</v>
      </c>
      <c r="H14" s="91" t="s">
        <v>594</v>
      </c>
    </row>
    <row r="15">
      <c r="A15" s="84" t="s">
        <v>595</v>
      </c>
      <c r="C15" s="145"/>
      <c r="E15" s="145" t="s">
        <v>596</v>
      </c>
      <c r="F15" s="95" t="s">
        <v>597</v>
      </c>
      <c r="G15" s="84" t="s">
        <v>186</v>
      </c>
      <c r="H15" s="95" t="s">
        <v>196</v>
      </c>
    </row>
    <row r="16" ht="39.0" customHeight="1">
      <c r="C16" s="144" t="s">
        <v>598</v>
      </c>
      <c r="E16" s="91" t="s">
        <v>41</v>
      </c>
      <c r="F16" s="144" t="s">
        <v>41</v>
      </c>
      <c r="G16" s="88" t="s">
        <v>186</v>
      </c>
      <c r="H16" s="91" t="s">
        <v>205</v>
      </c>
    </row>
    <row r="17">
      <c r="C17" s="144" t="s">
        <v>599</v>
      </c>
      <c r="E17" s="91" t="s">
        <v>600</v>
      </c>
      <c r="F17" s="88" t="s">
        <v>601</v>
      </c>
      <c r="G17" s="88" t="s">
        <v>209</v>
      </c>
      <c r="H17" s="88" t="s">
        <v>602</v>
      </c>
    </row>
    <row r="18" ht="111.0" customHeight="1">
      <c r="A18" s="145" t="s">
        <v>603</v>
      </c>
      <c r="C18" s="145"/>
      <c r="E18" s="145" t="s">
        <v>604</v>
      </c>
      <c r="F18" s="95" t="s">
        <v>41</v>
      </c>
      <c r="G18" s="84" t="s">
        <v>186</v>
      </c>
      <c r="H18" s="146" t="s">
        <v>605</v>
      </c>
    </row>
    <row r="19" ht="79.5" customHeight="1">
      <c r="C19" s="144" t="s">
        <v>606</v>
      </c>
      <c r="E19" s="144" t="s">
        <v>607</v>
      </c>
      <c r="F19" s="91" t="s">
        <v>41</v>
      </c>
      <c r="G19" s="88" t="s">
        <v>186</v>
      </c>
      <c r="H19" s="91" t="s">
        <v>608</v>
      </c>
    </row>
    <row r="20" ht="49.5" customHeight="1">
      <c r="C20" s="144" t="s">
        <v>609</v>
      </c>
      <c r="E20" s="91" t="s">
        <v>610</v>
      </c>
      <c r="F20" s="144" t="s">
        <v>611</v>
      </c>
      <c r="G20" s="88" t="s">
        <v>209</v>
      </c>
      <c r="H20" s="91" t="s">
        <v>612</v>
      </c>
    </row>
    <row r="21">
      <c r="C21" s="144" t="s">
        <v>613</v>
      </c>
      <c r="E21" s="91" t="s">
        <v>41</v>
      </c>
      <c r="F21" s="88" t="s">
        <v>41</v>
      </c>
      <c r="G21" s="88" t="s">
        <v>209</v>
      </c>
      <c r="H21" s="88" t="s">
        <v>608</v>
      </c>
    </row>
    <row r="22">
      <c r="C22" s="88" t="s">
        <v>614</v>
      </c>
      <c r="E22" s="91" t="s">
        <v>41</v>
      </c>
      <c r="F22" s="88" t="s">
        <v>41</v>
      </c>
      <c r="G22" s="88" t="s">
        <v>403</v>
      </c>
      <c r="H22" s="91" t="s">
        <v>608</v>
      </c>
    </row>
    <row r="23">
      <c r="C23" s="88" t="s">
        <v>615</v>
      </c>
      <c r="E23" s="91" t="s">
        <v>41</v>
      </c>
      <c r="F23" s="88" t="s">
        <v>41</v>
      </c>
      <c r="G23" s="88" t="s">
        <v>209</v>
      </c>
      <c r="H23" s="88" t="s">
        <v>608</v>
      </c>
    </row>
  </sheetData>
  <autoFilter ref="$G$2:$G$23"/>
  <customSheetViews>
    <customSheetView guid="{C103ECE9-5D35-4A9E-9396-8F6D912E796E}" filter="1" showAutoFilter="1">
      <autoFilter ref="$G$2:$G$23"/>
    </customSheetView>
  </customSheetViews>
  <mergeCells count="29">
    <mergeCell ref="C6:D6"/>
    <mergeCell ref="C7:D7"/>
    <mergeCell ref="B5:B8"/>
    <mergeCell ref="B9:B11"/>
    <mergeCell ref="C9:D9"/>
    <mergeCell ref="C10:D10"/>
    <mergeCell ref="C11:D11"/>
    <mergeCell ref="B12:B14"/>
    <mergeCell ref="C12:D12"/>
    <mergeCell ref="C13:D13"/>
    <mergeCell ref="C14:D14"/>
    <mergeCell ref="A1:B1"/>
    <mergeCell ref="A3:B3"/>
    <mergeCell ref="C3:D3"/>
    <mergeCell ref="A4:A14"/>
    <mergeCell ref="B4:D4"/>
    <mergeCell ref="C5:D5"/>
    <mergeCell ref="C8:D8"/>
    <mergeCell ref="C20:D20"/>
    <mergeCell ref="C21:D21"/>
    <mergeCell ref="C22:D22"/>
    <mergeCell ref="C23:D23"/>
    <mergeCell ref="A15:B17"/>
    <mergeCell ref="C15:D15"/>
    <mergeCell ref="C16:D16"/>
    <mergeCell ref="C17:D17"/>
    <mergeCell ref="A18:B23"/>
    <mergeCell ref="C18:D18"/>
    <mergeCell ref="C19:D19"/>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2" width="19.25"/>
    <col customWidth="1" min="3" max="3" width="16.75"/>
    <col customWidth="1" min="4" max="4" width="7.88"/>
    <col customWidth="1" min="5" max="5" width="41.5"/>
    <col customWidth="1" min="6" max="6" width="94.13"/>
    <col customWidth="1" min="7" max="7" width="11.38"/>
    <col customWidth="1" min="8" max="8" width="78.63"/>
  </cols>
  <sheetData>
    <row r="1" ht="24.75" customHeight="1">
      <c r="A1" s="75" t="s">
        <v>616</v>
      </c>
      <c r="C1" s="76" t="s">
        <v>179</v>
      </c>
      <c r="D1" s="77">
        <f>SUBTOTAL(103, G3:G35)</f>
        <v>33</v>
      </c>
      <c r="E1" s="72" t="s">
        <v>41</v>
      </c>
      <c r="F1" s="72" t="s">
        <v>41</v>
      </c>
      <c r="G1" s="72" t="s">
        <v>41</v>
      </c>
      <c r="H1" s="72" t="s">
        <v>41</v>
      </c>
    </row>
    <row r="2" ht="28.5" customHeight="1">
      <c r="A2" s="78" t="s">
        <v>180</v>
      </c>
      <c r="B2" s="79" t="s">
        <v>181</v>
      </c>
      <c r="C2" s="80" t="s">
        <v>45</v>
      </c>
      <c r="D2" s="79" t="s">
        <v>82</v>
      </c>
      <c r="E2" s="79" t="s">
        <v>182</v>
      </c>
      <c r="F2" s="79" t="s">
        <v>183</v>
      </c>
      <c r="G2" s="79" t="s">
        <v>63</v>
      </c>
      <c r="H2" s="80" t="s">
        <v>184</v>
      </c>
    </row>
    <row r="3">
      <c r="A3" s="147"/>
      <c r="C3" s="91" t="s">
        <v>617</v>
      </c>
      <c r="E3" s="91" t="s">
        <v>618</v>
      </c>
      <c r="F3" s="91" t="s">
        <v>619</v>
      </c>
      <c r="G3" s="91" t="s">
        <v>186</v>
      </c>
      <c r="H3" s="129" t="s">
        <v>620</v>
      </c>
    </row>
    <row r="4">
      <c r="A4" s="92" t="s">
        <v>621</v>
      </c>
      <c r="C4" s="95"/>
      <c r="E4" s="95" t="s">
        <v>41</v>
      </c>
      <c r="F4" s="84" t="s">
        <v>41</v>
      </c>
      <c r="G4" s="95" t="s">
        <v>209</v>
      </c>
      <c r="H4" s="84" t="s">
        <v>205</v>
      </c>
    </row>
    <row r="5">
      <c r="C5" s="91" t="s">
        <v>622</v>
      </c>
      <c r="E5" s="91" t="s">
        <v>623</v>
      </c>
      <c r="F5" s="88" t="s">
        <v>624</v>
      </c>
      <c r="G5" s="91" t="s">
        <v>209</v>
      </c>
      <c r="H5" s="88" t="s">
        <v>625</v>
      </c>
    </row>
    <row r="6">
      <c r="C6" s="91" t="s">
        <v>626</v>
      </c>
      <c r="E6" s="91" t="s">
        <v>627</v>
      </c>
      <c r="F6" s="88" t="s">
        <v>628</v>
      </c>
      <c r="G6" s="91" t="s">
        <v>209</v>
      </c>
      <c r="H6" s="88" t="s">
        <v>629</v>
      </c>
    </row>
    <row r="7">
      <c r="C7" s="91" t="s">
        <v>630</v>
      </c>
      <c r="E7" s="91" t="s">
        <v>631</v>
      </c>
      <c r="F7" s="88" t="s">
        <v>632</v>
      </c>
      <c r="G7" s="88" t="s">
        <v>209</v>
      </c>
      <c r="H7" s="91" t="s">
        <v>633</v>
      </c>
    </row>
    <row r="8">
      <c r="A8" s="92" t="s">
        <v>634</v>
      </c>
      <c r="C8" s="95"/>
      <c r="E8" s="95" t="s">
        <v>41</v>
      </c>
      <c r="F8" s="84" t="s">
        <v>41</v>
      </c>
      <c r="G8" s="95" t="s">
        <v>186</v>
      </c>
      <c r="H8" s="84" t="s">
        <v>205</v>
      </c>
    </row>
    <row r="9">
      <c r="C9" s="91" t="s">
        <v>635</v>
      </c>
      <c r="E9" s="91" t="s">
        <v>636</v>
      </c>
      <c r="F9" s="88" t="s">
        <v>637</v>
      </c>
      <c r="G9" s="91" t="s">
        <v>186</v>
      </c>
      <c r="H9" s="88" t="s">
        <v>638</v>
      </c>
    </row>
    <row r="10" ht="63.75" customHeight="1">
      <c r="C10" s="91" t="s">
        <v>639</v>
      </c>
      <c r="E10" s="91" t="s">
        <v>640</v>
      </c>
      <c r="F10" s="88" t="s">
        <v>641</v>
      </c>
      <c r="G10" s="91" t="s">
        <v>186</v>
      </c>
      <c r="H10" s="88" t="s">
        <v>642</v>
      </c>
    </row>
    <row r="11">
      <c r="C11" s="91" t="s">
        <v>643</v>
      </c>
      <c r="E11" s="91" t="s">
        <v>644</v>
      </c>
      <c r="F11" s="88" t="s">
        <v>645</v>
      </c>
      <c r="G11" s="91" t="s">
        <v>186</v>
      </c>
      <c r="H11" s="88" t="s">
        <v>646</v>
      </c>
    </row>
    <row r="12">
      <c r="A12" s="84" t="s">
        <v>647</v>
      </c>
      <c r="C12" s="95"/>
      <c r="E12" s="148" t="s">
        <v>648</v>
      </c>
      <c r="F12" s="84" t="s">
        <v>649</v>
      </c>
      <c r="G12" s="95" t="s">
        <v>209</v>
      </c>
      <c r="H12" s="84" t="s">
        <v>650</v>
      </c>
    </row>
    <row r="13" ht="39.0" customHeight="1">
      <c r="C13" s="91" t="s">
        <v>651</v>
      </c>
      <c r="E13" s="91" t="s">
        <v>652</v>
      </c>
      <c r="F13" s="144" t="s">
        <v>653</v>
      </c>
      <c r="G13" s="91" t="s">
        <v>209</v>
      </c>
      <c r="H13" s="144" t="s">
        <v>654</v>
      </c>
    </row>
    <row r="14">
      <c r="C14" s="88" t="s">
        <v>655</v>
      </c>
      <c r="E14" s="144" t="s">
        <v>656</v>
      </c>
      <c r="F14" s="141"/>
      <c r="G14" s="144" t="s">
        <v>209</v>
      </c>
      <c r="H14" s="91" t="s">
        <v>205</v>
      </c>
    </row>
    <row r="15" ht="39.0" customHeight="1">
      <c r="C15" s="88" t="s">
        <v>657</v>
      </c>
      <c r="E15" s="91" t="s">
        <v>658</v>
      </c>
      <c r="F15" s="144" t="s">
        <v>659</v>
      </c>
      <c r="G15" s="91" t="s">
        <v>209</v>
      </c>
      <c r="H15" s="144" t="s">
        <v>205</v>
      </c>
    </row>
    <row r="16">
      <c r="C16" s="88" t="s">
        <v>660</v>
      </c>
      <c r="E16" s="91" t="s">
        <v>41</v>
      </c>
      <c r="F16" s="144" t="s">
        <v>41</v>
      </c>
      <c r="G16" s="91" t="s">
        <v>209</v>
      </c>
      <c r="H16" s="88" t="s">
        <v>661</v>
      </c>
    </row>
    <row r="17" ht="111.0" customHeight="1">
      <c r="A17" s="145" t="s">
        <v>662</v>
      </c>
      <c r="C17" s="145"/>
      <c r="E17" s="145" t="s">
        <v>663</v>
      </c>
      <c r="F17" s="95" t="s">
        <v>41</v>
      </c>
      <c r="G17" s="145" t="s">
        <v>186</v>
      </c>
      <c r="H17" s="95" t="s">
        <v>205</v>
      </c>
    </row>
    <row r="18" ht="79.5" customHeight="1">
      <c r="C18" s="144" t="s">
        <v>664</v>
      </c>
      <c r="E18" s="91" t="s">
        <v>41</v>
      </c>
      <c r="F18" s="144" t="s">
        <v>665</v>
      </c>
      <c r="G18" s="144" t="s">
        <v>209</v>
      </c>
      <c r="H18" s="91" t="s">
        <v>666</v>
      </c>
    </row>
    <row r="19" ht="49.5" customHeight="1">
      <c r="C19" s="144" t="s">
        <v>667</v>
      </c>
      <c r="E19" s="91" t="s">
        <v>41</v>
      </c>
      <c r="F19" s="144" t="s">
        <v>668</v>
      </c>
      <c r="G19" s="91" t="s">
        <v>209</v>
      </c>
      <c r="H19" s="144" t="s">
        <v>669</v>
      </c>
    </row>
    <row r="20">
      <c r="A20" s="145" t="s">
        <v>670</v>
      </c>
      <c r="C20" s="145"/>
      <c r="E20" s="95" t="s">
        <v>671</v>
      </c>
      <c r="F20" s="145" t="s">
        <v>672</v>
      </c>
      <c r="G20" s="95" t="s">
        <v>209</v>
      </c>
      <c r="H20" s="84" t="s">
        <v>673</v>
      </c>
    </row>
    <row r="21">
      <c r="C21" s="144" t="s">
        <v>674</v>
      </c>
      <c r="E21" s="91" t="s">
        <v>41</v>
      </c>
      <c r="F21" s="88" t="s">
        <v>41</v>
      </c>
      <c r="G21" s="91" t="s">
        <v>209</v>
      </c>
      <c r="H21" s="88" t="s">
        <v>231</v>
      </c>
    </row>
    <row r="22">
      <c r="C22" s="144" t="s">
        <v>675</v>
      </c>
      <c r="E22" s="91" t="s">
        <v>41</v>
      </c>
      <c r="F22" s="88" t="s">
        <v>41</v>
      </c>
      <c r="G22" s="91" t="s">
        <v>209</v>
      </c>
      <c r="H22" s="88" t="s">
        <v>231</v>
      </c>
    </row>
    <row r="23">
      <c r="C23" s="144" t="s">
        <v>676</v>
      </c>
      <c r="E23" s="91" t="s">
        <v>41</v>
      </c>
      <c r="F23" s="88" t="s">
        <v>41</v>
      </c>
      <c r="G23" s="91" t="s">
        <v>209</v>
      </c>
      <c r="H23" s="88" t="s">
        <v>677</v>
      </c>
    </row>
    <row r="24">
      <c r="A24" s="145" t="s">
        <v>678</v>
      </c>
      <c r="C24" s="145"/>
      <c r="E24" s="95" t="s">
        <v>41</v>
      </c>
      <c r="F24" s="84" t="s">
        <v>41</v>
      </c>
      <c r="G24" s="95" t="s">
        <v>186</v>
      </c>
      <c r="H24" s="84" t="s">
        <v>205</v>
      </c>
    </row>
    <row r="25" ht="63.75" customHeight="1">
      <c r="C25" s="144" t="s">
        <v>679</v>
      </c>
      <c r="E25" s="91" t="s">
        <v>680</v>
      </c>
      <c r="F25" s="144" t="s">
        <v>681</v>
      </c>
      <c r="G25" s="88" t="s">
        <v>209</v>
      </c>
      <c r="H25" s="88" t="s">
        <v>682</v>
      </c>
    </row>
    <row r="26">
      <c r="C26" s="88" t="s">
        <v>683</v>
      </c>
      <c r="E26" s="91" t="s">
        <v>684</v>
      </c>
      <c r="F26" s="88" t="s">
        <v>685</v>
      </c>
      <c r="G26" s="88" t="s">
        <v>186</v>
      </c>
      <c r="H26" s="91" t="s">
        <v>686</v>
      </c>
    </row>
    <row r="27">
      <c r="C27" s="144" t="s">
        <v>687</v>
      </c>
      <c r="E27" s="91" t="s">
        <v>688</v>
      </c>
      <c r="F27" s="88" t="s">
        <v>689</v>
      </c>
      <c r="G27" s="88" t="s">
        <v>186</v>
      </c>
      <c r="H27" s="91" t="s">
        <v>690</v>
      </c>
    </row>
    <row r="28">
      <c r="A28" s="145" t="s">
        <v>691</v>
      </c>
      <c r="C28" s="145"/>
      <c r="E28" s="95" t="s">
        <v>41</v>
      </c>
      <c r="F28" s="145" t="s">
        <v>41</v>
      </c>
      <c r="G28" s="84" t="s">
        <v>186</v>
      </c>
      <c r="H28" s="95" t="s">
        <v>692</v>
      </c>
    </row>
    <row r="29">
      <c r="C29" s="144" t="s">
        <v>693</v>
      </c>
      <c r="E29" s="91" t="s">
        <v>694</v>
      </c>
      <c r="F29" s="144" t="s">
        <v>695</v>
      </c>
      <c r="G29" s="88" t="s">
        <v>209</v>
      </c>
      <c r="H29" s="91" t="s">
        <v>696</v>
      </c>
    </row>
    <row r="30">
      <c r="C30" s="91" t="s">
        <v>697</v>
      </c>
      <c r="E30" s="91" t="s">
        <v>698</v>
      </c>
      <c r="F30" s="91" t="s">
        <v>699</v>
      </c>
      <c r="G30" s="91" t="s">
        <v>209</v>
      </c>
      <c r="H30" s="91" t="s">
        <v>696</v>
      </c>
    </row>
    <row r="31">
      <c r="A31" s="95" t="s">
        <v>700</v>
      </c>
      <c r="E31" s="95" t="s">
        <v>41</v>
      </c>
      <c r="F31" s="95" t="s">
        <v>701</v>
      </c>
      <c r="G31" s="95" t="s">
        <v>209</v>
      </c>
      <c r="H31" s="95" t="s">
        <v>702</v>
      </c>
    </row>
    <row r="32">
      <c r="A32" s="95" t="s">
        <v>703</v>
      </c>
      <c r="B32" s="93"/>
      <c r="E32" s="95" t="s">
        <v>41</v>
      </c>
      <c r="F32" s="95" t="s">
        <v>41</v>
      </c>
      <c r="G32" s="95" t="s">
        <v>209</v>
      </c>
      <c r="H32" s="95" t="s">
        <v>205</v>
      </c>
    </row>
    <row r="33">
      <c r="B33" s="104" t="s">
        <v>704</v>
      </c>
      <c r="E33" s="104" t="s">
        <v>705</v>
      </c>
      <c r="F33" s="104" t="s">
        <v>706</v>
      </c>
      <c r="G33" s="104" t="s">
        <v>209</v>
      </c>
      <c r="H33" s="104" t="s">
        <v>707</v>
      </c>
    </row>
    <row r="34">
      <c r="B34" s="104" t="s">
        <v>708</v>
      </c>
      <c r="E34" s="104" t="s">
        <v>709</v>
      </c>
      <c r="F34" s="104" t="s">
        <v>41</v>
      </c>
      <c r="G34" s="104" t="s">
        <v>403</v>
      </c>
      <c r="H34" s="104" t="s">
        <v>710</v>
      </c>
    </row>
    <row r="35">
      <c r="A35" s="95" t="s">
        <v>711</v>
      </c>
      <c r="E35" s="95" t="s">
        <v>712</v>
      </c>
      <c r="F35" s="95" t="s">
        <v>713</v>
      </c>
      <c r="G35" s="95" t="s">
        <v>209</v>
      </c>
      <c r="H35" s="95" t="s">
        <v>714</v>
      </c>
    </row>
  </sheetData>
  <autoFilter ref="$G$2:$G$29"/>
  <customSheetViews>
    <customSheetView guid="{C103ECE9-5D35-4A9E-9396-8F6D912E796E}" filter="1" showAutoFilter="1">
      <autoFilter ref="$G$2:$G$34"/>
    </customSheetView>
  </customSheetViews>
  <mergeCells count="43">
    <mergeCell ref="A4:B7"/>
    <mergeCell ref="A8:B11"/>
    <mergeCell ref="A12:B16"/>
    <mergeCell ref="A17:B19"/>
    <mergeCell ref="A20:B23"/>
    <mergeCell ref="A24:B27"/>
    <mergeCell ref="A28:B30"/>
    <mergeCell ref="A32:A34"/>
    <mergeCell ref="A1:B1"/>
    <mergeCell ref="A3:B3"/>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9:D29"/>
    <mergeCell ref="C30:D30"/>
    <mergeCell ref="A31:D31"/>
    <mergeCell ref="B32:D32"/>
    <mergeCell ref="B33:D33"/>
    <mergeCell ref="B34:D34"/>
    <mergeCell ref="A35:D35"/>
    <mergeCell ref="C22:D22"/>
    <mergeCell ref="C23:D23"/>
    <mergeCell ref="C24:D24"/>
    <mergeCell ref="C25:D25"/>
    <mergeCell ref="C26:D26"/>
    <mergeCell ref="C27:D27"/>
    <mergeCell ref="C28:D28"/>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7.88"/>
    <col customWidth="1" min="2" max="2" width="20.88"/>
    <col customWidth="1" min="3" max="3" width="17.0"/>
    <col customWidth="1" min="4" max="4" width="18.38"/>
    <col customWidth="1" min="5" max="5" width="47.0"/>
    <col customWidth="1" min="6" max="6" width="47.25"/>
    <col customWidth="1" min="7" max="7" width="11.38"/>
    <col customWidth="1" min="8" max="8" width="75.25"/>
  </cols>
  <sheetData>
    <row r="1" ht="24.75" customHeight="1">
      <c r="A1" s="75" t="s">
        <v>715</v>
      </c>
      <c r="C1" s="76" t="s">
        <v>179</v>
      </c>
      <c r="D1" s="77">
        <f>SUBTOTAL(103, G3:G30)</f>
        <v>28</v>
      </c>
      <c r="E1" s="56" t="s">
        <v>41</v>
      </c>
      <c r="F1" s="72" t="s">
        <v>41</v>
      </c>
      <c r="G1" s="72" t="s">
        <v>41</v>
      </c>
      <c r="H1" s="72" t="s">
        <v>41</v>
      </c>
    </row>
    <row r="2" ht="28.5" customHeight="1">
      <c r="A2" s="78" t="s">
        <v>180</v>
      </c>
      <c r="B2" s="79" t="s">
        <v>181</v>
      </c>
      <c r="C2" s="80" t="s">
        <v>45</v>
      </c>
      <c r="D2" s="79" t="s">
        <v>82</v>
      </c>
      <c r="E2" s="79" t="s">
        <v>182</v>
      </c>
      <c r="F2" s="79" t="s">
        <v>183</v>
      </c>
      <c r="G2" s="79" t="s">
        <v>63</v>
      </c>
      <c r="H2" s="80" t="s">
        <v>184</v>
      </c>
    </row>
    <row r="3">
      <c r="A3" s="131"/>
      <c r="C3" s="88" t="s">
        <v>716</v>
      </c>
      <c r="E3" s="91" t="s">
        <v>717</v>
      </c>
      <c r="F3" s="88" t="s">
        <v>718</v>
      </c>
      <c r="G3" s="88" t="s">
        <v>186</v>
      </c>
      <c r="H3" s="88" t="s">
        <v>719</v>
      </c>
    </row>
    <row r="4">
      <c r="A4" s="131"/>
      <c r="C4" s="88" t="s">
        <v>720</v>
      </c>
      <c r="E4" s="91" t="s">
        <v>41</v>
      </c>
      <c r="F4" s="88" t="s">
        <v>721</v>
      </c>
      <c r="G4" s="88" t="s">
        <v>186</v>
      </c>
      <c r="H4" s="88" t="s">
        <v>722</v>
      </c>
    </row>
    <row r="5">
      <c r="A5" s="131"/>
      <c r="C5" s="88" t="s">
        <v>723</v>
      </c>
      <c r="D5" s="86"/>
      <c r="E5" s="88" t="s">
        <v>724</v>
      </c>
      <c r="F5" s="91" t="s">
        <v>725</v>
      </c>
      <c r="G5" s="88" t="s">
        <v>186</v>
      </c>
      <c r="H5" s="88" t="s">
        <v>726</v>
      </c>
    </row>
    <row r="6">
      <c r="A6" s="131"/>
      <c r="D6" s="97" t="s">
        <v>727</v>
      </c>
      <c r="E6" s="97" t="s">
        <v>728</v>
      </c>
      <c r="F6" s="98" t="s">
        <v>41</v>
      </c>
      <c r="G6" s="97" t="s">
        <v>186</v>
      </c>
      <c r="H6" s="97" t="s">
        <v>205</v>
      </c>
    </row>
    <row r="7">
      <c r="A7" s="131"/>
      <c r="D7" s="97" t="s">
        <v>729</v>
      </c>
      <c r="E7" s="97" t="s">
        <v>728</v>
      </c>
      <c r="F7" s="98" t="s">
        <v>41</v>
      </c>
      <c r="G7" s="97" t="s">
        <v>186</v>
      </c>
      <c r="H7" s="97" t="s">
        <v>205</v>
      </c>
    </row>
    <row r="8">
      <c r="A8" s="131"/>
      <c r="D8" s="97" t="s">
        <v>730</v>
      </c>
      <c r="E8" s="97" t="s">
        <v>728</v>
      </c>
      <c r="F8" s="98" t="s">
        <v>731</v>
      </c>
      <c r="G8" s="97" t="s">
        <v>186</v>
      </c>
      <c r="H8" s="97" t="s">
        <v>732</v>
      </c>
    </row>
    <row r="9" ht="57.75" customHeight="1">
      <c r="A9" s="84" t="s">
        <v>733</v>
      </c>
      <c r="B9" s="84"/>
      <c r="E9" s="84" t="s">
        <v>734</v>
      </c>
      <c r="F9" s="95" t="s">
        <v>41</v>
      </c>
      <c r="G9" s="84" t="s">
        <v>186</v>
      </c>
      <c r="H9" s="149" t="s">
        <v>735</v>
      </c>
    </row>
    <row r="10">
      <c r="B10" s="84"/>
      <c r="C10" s="103" t="s">
        <v>736</v>
      </c>
      <c r="E10" s="91" t="s">
        <v>41</v>
      </c>
      <c r="F10" s="88" t="s">
        <v>737</v>
      </c>
      <c r="G10" s="88" t="s">
        <v>186</v>
      </c>
      <c r="H10" s="88" t="s">
        <v>738</v>
      </c>
    </row>
    <row r="11" ht="39.0" customHeight="1">
      <c r="B11" s="150" t="s">
        <v>739</v>
      </c>
      <c r="E11" s="106" t="s">
        <v>740</v>
      </c>
      <c r="F11" s="104" t="s">
        <v>741</v>
      </c>
      <c r="G11" s="106" t="s">
        <v>186</v>
      </c>
      <c r="H11" s="150" t="s">
        <v>742</v>
      </c>
    </row>
    <row r="12" ht="39.0" customHeight="1">
      <c r="B12" s="150" t="s">
        <v>743</v>
      </c>
      <c r="E12" s="106" t="s">
        <v>744</v>
      </c>
      <c r="F12" s="104" t="s">
        <v>745</v>
      </c>
      <c r="G12" s="106" t="s">
        <v>209</v>
      </c>
      <c r="H12" s="118" t="s">
        <v>746</v>
      </c>
    </row>
    <row r="13" ht="39.0" customHeight="1">
      <c r="A13" s="145" t="s">
        <v>747</v>
      </c>
      <c r="B13" s="145"/>
      <c r="E13" s="82" t="s">
        <v>748</v>
      </c>
      <c r="F13" s="95" t="s">
        <v>41</v>
      </c>
      <c r="G13" s="84" t="s">
        <v>186</v>
      </c>
      <c r="H13" s="149" t="s">
        <v>749</v>
      </c>
    </row>
    <row r="14">
      <c r="B14" s="145"/>
      <c r="C14" s="103" t="s">
        <v>750</v>
      </c>
      <c r="E14" s="88" t="s">
        <v>41</v>
      </c>
      <c r="F14" s="88" t="s">
        <v>41</v>
      </c>
      <c r="G14" s="88" t="s">
        <v>186</v>
      </c>
      <c r="H14" s="88" t="s">
        <v>751</v>
      </c>
    </row>
    <row r="15" ht="79.5" customHeight="1">
      <c r="C15" s="144" t="s">
        <v>752</v>
      </c>
      <c r="E15" s="88" t="s">
        <v>753</v>
      </c>
      <c r="F15" s="91" t="s">
        <v>41</v>
      </c>
      <c r="G15" s="88" t="s">
        <v>403</v>
      </c>
      <c r="H15" s="144" t="s">
        <v>754</v>
      </c>
    </row>
    <row r="16" ht="79.5" customHeight="1">
      <c r="B16" s="150" t="s">
        <v>755</v>
      </c>
      <c r="E16" s="106" t="s">
        <v>756</v>
      </c>
      <c r="F16" s="104" t="s">
        <v>757</v>
      </c>
      <c r="G16" s="106" t="s">
        <v>186</v>
      </c>
      <c r="H16" s="118" t="s">
        <v>758</v>
      </c>
    </row>
    <row r="17" ht="79.5" customHeight="1">
      <c r="B17" s="150" t="s">
        <v>759</v>
      </c>
      <c r="E17" s="106" t="s">
        <v>760</v>
      </c>
      <c r="F17" s="104" t="s">
        <v>761</v>
      </c>
      <c r="G17" s="106" t="s">
        <v>403</v>
      </c>
      <c r="H17" s="118" t="s">
        <v>762</v>
      </c>
    </row>
    <row r="18" ht="49.5" customHeight="1">
      <c r="A18" s="145" t="s">
        <v>763</v>
      </c>
      <c r="B18" s="145"/>
      <c r="E18" s="109" t="s">
        <v>764</v>
      </c>
      <c r="F18" s="95" t="s">
        <v>41</v>
      </c>
      <c r="G18" s="84" t="s">
        <v>186</v>
      </c>
      <c r="H18" s="149" t="s">
        <v>765</v>
      </c>
    </row>
    <row r="19">
      <c r="B19" s="145"/>
      <c r="C19" s="103" t="s">
        <v>766</v>
      </c>
      <c r="E19" s="88" t="s">
        <v>41</v>
      </c>
      <c r="F19" s="88" t="s">
        <v>41</v>
      </c>
      <c r="G19" s="88" t="s">
        <v>186</v>
      </c>
      <c r="H19" s="88" t="s">
        <v>751</v>
      </c>
    </row>
    <row r="20">
      <c r="C20" s="88" t="s">
        <v>767</v>
      </c>
      <c r="E20" s="88" t="s">
        <v>768</v>
      </c>
      <c r="F20" s="87" t="s">
        <v>41</v>
      </c>
      <c r="G20" s="88" t="s">
        <v>403</v>
      </c>
      <c r="H20" s="144" t="s">
        <v>754</v>
      </c>
    </row>
    <row r="21">
      <c r="B21" s="106" t="s">
        <v>769</v>
      </c>
      <c r="E21" s="106" t="s">
        <v>770</v>
      </c>
      <c r="F21" s="136" t="s">
        <v>41</v>
      </c>
      <c r="G21" s="106" t="s">
        <v>186</v>
      </c>
      <c r="H21" s="118" t="s">
        <v>771</v>
      </c>
    </row>
    <row r="22">
      <c r="B22" s="106" t="s">
        <v>772</v>
      </c>
      <c r="E22" s="106" t="s">
        <v>773</v>
      </c>
      <c r="F22" s="106" t="s">
        <v>41</v>
      </c>
      <c r="G22" s="106" t="s">
        <v>209</v>
      </c>
      <c r="H22" s="118" t="s">
        <v>774</v>
      </c>
    </row>
    <row r="23">
      <c r="A23" s="84" t="s">
        <v>775</v>
      </c>
      <c r="C23" s="109"/>
      <c r="E23" s="84" t="s">
        <v>41</v>
      </c>
      <c r="F23" s="84" t="s">
        <v>41</v>
      </c>
      <c r="G23" s="84" t="s">
        <v>186</v>
      </c>
      <c r="H23" s="84" t="s">
        <v>776</v>
      </c>
    </row>
    <row r="24">
      <c r="C24" s="88" t="s">
        <v>777</v>
      </c>
      <c r="D24" s="88"/>
      <c r="E24" s="88" t="s">
        <v>41</v>
      </c>
      <c r="F24" s="91" t="s">
        <v>41</v>
      </c>
      <c r="G24" s="88" t="s">
        <v>186</v>
      </c>
      <c r="H24" s="88" t="s">
        <v>77</v>
      </c>
    </row>
    <row r="25">
      <c r="D25" s="99" t="s">
        <v>778</v>
      </c>
      <c r="E25" s="126" t="s">
        <v>779</v>
      </c>
      <c r="F25" s="98" t="s">
        <v>41</v>
      </c>
      <c r="G25" s="97" t="s">
        <v>209</v>
      </c>
      <c r="H25" s="97" t="s">
        <v>780</v>
      </c>
    </row>
    <row r="26">
      <c r="D26" s="97" t="s">
        <v>781</v>
      </c>
      <c r="E26" s="126" t="s">
        <v>782</v>
      </c>
      <c r="F26" s="98" t="s">
        <v>41</v>
      </c>
      <c r="G26" s="97" t="s">
        <v>186</v>
      </c>
      <c r="H26" s="97" t="s">
        <v>783</v>
      </c>
    </row>
    <row r="27" ht="36.0" customHeight="1">
      <c r="A27" s="145" t="s">
        <v>784</v>
      </c>
      <c r="B27" s="145"/>
      <c r="E27" s="84" t="s">
        <v>41</v>
      </c>
      <c r="F27" s="84" t="s">
        <v>41</v>
      </c>
      <c r="G27" s="84" t="s">
        <v>186</v>
      </c>
      <c r="H27" s="84" t="s">
        <v>485</v>
      </c>
    </row>
    <row r="28">
      <c r="B28" s="145"/>
      <c r="C28" s="103" t="s">
        <v>785</v>
      </c>
      <c r="E28" s="103" t="s">
        <v>786</v>
      </c>
      <c r="F28" s="91" t="s">
        <v>41</v>
      </c>
      <c r="G28" s="103" t="s">
        <v>403</v>
      </c>
      <c r="H28" s="103" t="s">
        <v>449</v>
      </c>
    </row>
    <row r="29">
      <c r="B29" s="150" t="s">
        <v>787</v>
      </c>
      <c r="E29" s="106" t="s">
        <v>788</v>
      </c>
      <c r="F29" s="104" t="s">
        <v>789</v>
      </c>
      <c r="G29" s="106" t="s">
        <v>186</v>
      </c>
      <c r="H29" s="106" t="s">
        <v>196</v>
      </c>
    </row>
    <row r="30">
      <c r="B30" s="150" t="s">
        <v>790</v>
      </c>
      <c r="E30" s="106" t="s">
        <v>791</v>
      </c>
      <c r="F30" s="104" t="s">
        <v>792</v>
      </c>
      <c r="G30" s="106" t="s">
        <v>209</v>
      </c>
      <c r="H30" s="106" t="s">
        <v>793</v>
      </c>
    </row>
  </sheetData>
  <autoFilter ref="$G$2:$G$30"/>
  <customSheetViews>
    <customSheetView guid="{C103ECE9-5D35-4A9E-9396-8F6D912E796E}" filter="1" showAutoFilter="1">
      <autoFilter ref="$G$2:$G$30"/>
    </customSheetView>
  </customSheetViews>
  <mergeCells count="37">
    <mergeCell ref="A1:B1"/>
    <mergeCell ref="A3:B3"/>
    <mergeCell ref="C3:D3"/>
    <mergeCell ref="A4:B4"/>
    <mergeCell ref="C4:D4"/>
    <mergeCell ref="A5:B5"/>
    <mergeCell ref="C5:C8"/>
    <mergeCell ref="A8:B8"/>
    <mergeCell ref="B9:D9"/>
    <mergeCell ref="C10:D10"/>
    <mergeCell ref="B11:D11"/>
    <mergeCell ref="B12:D12"/>
    <mergeCell ref="B13:D13"/>
    <mergeCell ref="C14:D14"/>
    <mergeCell ref="B22:D22"/>
    <mergeCell ref="C23:D23"/>
    <mergeCell ref="C24:C26"/>
    <mergeCell ref="B27:D27"/>
    <mergeCell ref="C28:D28"/>
    <mergeCell ref="B29:D29"/>
    <mergeCell ref="B30:D30"/>
    <mergeCell ref="C15:D15"/>
    <mergeCell ref="B16:D16"/>
    <mergeCell ref="B17:D17"/>
    <mergeCell ref="B18:D18"/>
    <mergeCell ref="C19:D19"/>
    <mergeCell ref="C20:D20"/>
    <mergeCell ref="B21:D21"/>
    <mergeCell ref="A23:B26"/>
    <mergeCell ref="A27:A30"/>
    <mergeCell ref="A6:B6"/>
    <mergeCell ref="A7:B7"/>
    <mergeCell ref="A9:A12"/>
    <mergeCell ref="A13:A17"/>
    <mergeCell ref="B14:B15"/>
    <mergeCell ref="A18:A22"/>
    <mergeCell ref="B19:B20"/>
  </mergeCells>
  <hyperlinks>
    <hyperlink r:id="rId2" ref="H9"/>
    <hyperlink r:id="rId3" ref="H12"/>
    <hyperlink r:id="rId4" ref="H13"/>
    <hyperlink r:id="rId5" ref="H16"/>
    <hyperlink r:id="rId6" ref="H17"/>
    <hyperlink r:id="rId7" ref="H18"/>
    <hyperlink r:id="rId8" ref="H21"/>
    <hyperlink r:id="rId9" ref="H22"/>
  </hyperlinks>
  <drawing r:id="rId10"/>
  <legacyDrawing r:id="rId1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5.63"/>
    <col customWidth="1" min="2" max="2" width="15.13"/>
    <col customWidth="1" min="3" max="3" width="19.0"/>
    <col customWidth="1" min="4" max="4" width="25.75"/>
    <col customWidth="1" min="5" max="5" width="52.13"/>
    <col customWidth="1" min="6" max="6" width="45.63"/>
    <col customWidth="1" min="7" max="7" width="11.5"/>
    <col customWidth="1" min="8" max="8" width="75.25"/>
  </cols>
  <sheetData>
    <row r="1" ht="24.75" customHeight="1">
      <c r="A1" s="75" t="s">
        <v>794</v>
      </c>
      <c r="C1" s="76" t="s">
        <v>179</v>
      </c>
      <c r="D1" s="77">
        <f>SUBTOTAL(103, G3:G76)</f>
        <v>74</v>
      </c>
      <c r="E1" s="72" t="s">
        <v>41</v>
      </c>
      <c r="F1" s="72" t="s">
        <v>41</v>
      </c>
      <c r="G1" s="72" t="s">
        <v>41</v>
      </c>
      <c r="H1" s="72" t="s">
        <v>41</v>
      </c>
    </row>
    <row r="2">
      <c r="A2" s="78" t="s">
        <v>180</v>
      </c>
      <c r="B2" s="79" t="s">
        <v>181</v>
      </c>
      <c r="C2" s="80" t="s">
        <v>45</v>
      </c>
      <c r="D2" s="79" t="s">
        <v>82</v>
      </c>
      <c r="E2" s="79" t="s">
        <v>182</v>
      </c>
      <c r="F2" s="79" t="s">
        <v>183</v>
      </c>
      <c r="G2" s="79" t="s">
        <v>63</v>
      </c>
      <c r="H2" s="80" t="s">
        <v>184</v>
      </c>
    </row>
    <row r="3">
      <c r="A3" s="151"/>
      <c r="B3" s="152"/>
      <c r="C3" s="153" t="s">
        <v>795</v>
      </c>
      <c r="D3" s="130"/>
      <c r="E3" s="129" t="s">
        <v>796</v>
      </c>
      <c r="F3" s="91" t="s">
        <v>41</v>
      </c>
      <c r="G3" s="129" t="s">
        <v>186</v>
      </c>
      <c r="H3" s="154" t="s">
        <v>797</v>
      </c>
    </row>
    <row r="4">
      <c r="A4" s="131"/>
      <c r="D4" s="97" t="s">
        <v>798</v>
      </c>
      <c r="E4" s="97" t="s">
        <v>799</v>
      </c>
      <c r="F4" s="98" t="s">
        <v>800</v>
      </c>
      <c r="G4" s="97" t="s">
        <v>209</v>
      </c>
      <c r="H4" s="155" t="s">
        <v>801</v>
      </c>
    </row>
    <row r="5">
      <c r="A5" s="61"/>
      <c r="D5" s="99" t="s">
        <v>802</v>
      </c>
      <c r="E5" s="97" t="s">
        <v>803</v>
      </c>
      <c r="F5" s="98" t="s">
        <v>41</v>
      </c>
      <c r="G5" s="97" t="s">
        <v>209</v>
      </c>
      <c r="H5" s="155" t="s">
        <v>804</v>
      </c>
    </row>
    <row r="6">
      <c r="A6" s="84" t="s">
        <v>805</v>
      </c>
      <c r="B6" s="93"/>
      <c r="E6" s="84" t="s">
        <v>806</v>
      </c>
      <c r="F6" s="95" t="s">
        <v>41</v>
      </c>
      <c r="G6" s="84" t="s">
        <v>186</v>
      </c>
      <c r="H6" s="149" t="s">
        <v>807</v>
      </c>
    </row>
    <row r="7">
      <c r="B7" s="93"/>
      <c r="C7" s="88" t="s">
        <v>808</v>
      </c>
      <c r="E7" s="87" t="s">
        <v>41</v>
      </c>
      <c r="F7" s="88" t="s">
        <v>809</v>
      </c>
      <c r="G7" s="88" t="s">
        <v>209</v>
      </c>
      <c r="H7" s="86" t="s">
        <v>810</v>
      </c>
    </row>
    <row r="8">
      <c r="C8" s="88" t="s">
        <v>811</v>
      </c>
      <c r="D8" s="103"/>
      <c r="E8" s="87" t="s">
        <v>41</v>
      </c>
      <c r="F8" s="156" t="s">
        <v>812</v>
      </c>
      <c r="G8" s="88" t="s">
        <v>186</v>
      </c>
      <c r="H8" s="114" t="s">
        <v>813</v>
      </c>
    </row>
    <row r="9">
      <c r="D9" s="97" t="s">
        <v>814</v>
      </c>
      <c r="E9" s="97" t="s">
        <v>815</v>
      </c>
      <c r="F9" s="98" t="s">
        <v>41</v>
      </c>
      <c r="G9" s="99" t="s">
        <v>403</v>
      </c>
      <c r="H9" s="138" t="s">
        <v>816</v>
      </c>
    </row>
    <row r="10">
      <c r="C10" s="88" t="s">
        <v>817</v>
      </c>
      <c r="E10" s="87" t="s">
        <v>41</v>
      </c>
      <c r="F10" s="88" t="s">
        <v>818</v>
      </c>
      <c r="G10" s="88" t="s">
        <v>209</v>
      </c>
      <c r="H10" s="157" t="s">
        <v>819</v>
      </c>
    </row>
    <row r="11">
      <c r="C11" s="88" t="s">
        <v>820</v>
      </c>
      <c r="E11" s="87" t="s">
        <v>41</v>
      </c>
      <c r="F11" s="88" t="s">
        <v>821</v>
      </c>
      <c r="G11" s="88" t="s">
        <v>209</v>
      </c>
      <c r="H11" s="116" t="s">
        <v>822</v>
      </c>
    </row>
    <row r="12">
      <c r="C12" s="88" t="s">
        <v>823</v>
      </c>
      <c r="D12" s="103"/>
      <c r="E12" s="88" t="s">
        <v>41</v>
      </c>
      <c r="F12" s="91" t="s">
        <v>41</v>
      </c>
      <c r="G12" s="88" t="s">
        <v>209</v>
      </c>
      <c r="H12" s="114" t="s">
        <v>824</v>
      </c>
    </row>
    <row r="13">
      <c r="D13" s="99" t="s">
        <v>825</v>
      </c>
      <c r="E13" s="100" t="s">
        <v>41</v>
      </c>
      <c r="F13" s="97" t="s">
        <v>826</v>
      </c>
      <c r="G13" s="97" t="s">
        <v>209</v>
      </c>
      <c r="H13" s="138" t="s">
        <v>827</v>
      </c>
    </row>
    <row r="14">
      <c r="D14" s="99" t="s">
        <v>828</v>
      </c>
      <c r="E14" s="97" t="s">
        <v>829</v>
      </c>
      <c r="F14" s="98" t="s">
        <v>830</v>
      </c>
      <c r="G14" s="97" t="s">
        <v>209</v>
      </c>
      <c r="H14" s="138" t="s">
        <v>831</v>
      </c>
    </row>
    <row r="15">
      <c r="D15" s="99" t="s">
        <v>832</v>
      </c>
      <c r="E15" s="100" t="s">
        <v>41</v>
      </c>
      <c r="F15" s="99" t="s">
        <v>833</v>
      </c>
      <c r="G15" s="99" t="s">
        <v>403</v>
      </c>
      <c r="H15" s="138" t="s">
        <v>834</v>
      </c>
    </row>
    <row r="16">
      <c r="D16" s="99" t="s">
        <v>835</v>
      </c>
      <c r="E16" s="99" t="s">
        <v>836</v>
      </c>
      <c r="F16" s="98" t="s">
        <v>41</v>
      </c>
      <c r="G16" s="99" t="s">
        <v>403</v>
      </c>
      <c r="H16" s="138" t="s">
        <v>837</v>
      </c>
    </row>
    <row r="17">
      <c r="C17" s="88" t="s">
        <v>838</v>
      </c>
      <c r="D17" s="103"/>
      <c r="E17" s="88" t="s">
        <v>41</v>
      </c>
      <c r="F17" s="91" t="s">
        <v>41</v>
      </c>
      <c r="G17" s="88" t="s">
        <v>209</v>
      </c>
      <c r="H17" s="116" t="s">
        <v>839</v>
      </c>
    </row>
    <row r="18">
      <c r="D18" s="97" t="s">
        <v>840</v>
      </c>
      <c r="E18" s="100" t="s">
        <v>41</v>
      </c>
      <c r="F18" s="97" t="s">
        <v>841</v>
      </c>
      <c r="G18" s="97" t="s">
        <v>209</v>
      </c>
      <c r="H18" s="97" t="s">
        <v>842</v>
      </c>
    </row>
    <row r="19">
      <c r="D19" s="97" t="s">
        <v>843</v>
      </c>
      <c r="E19" s="97" t="s">
        <v>844</v>
      </c>
      <c r="F19" s="98" t="s">
        <v>845</v>
      </c>
      <c r="G19" s="97" t="s">
        <v>209</v>
      </c>
      <c r="H19" s="97" t="s">
        <v>846</v>
      </c>
    </row>
    <row r="20">
      <c r="D20" s="97" t="s">
        <v>847</v>
      </c>
      <c r="E20" s="97" t="s">
        <v>848</v>
      </c>
      <c r="F20" s="98" t="s">
        <v>849</v>
      </c>
      <c r="G20" s="99" t="s">
        <v>403</v>
      </c>
      <c r="H20" s="99" t="s">
        <v>850</v>
      </c>
    </row>
    <row r="21">
      <c r="D21" s="97" t="s">
        <v>851</v>
      </c>
      <c r="E21" s="97" t="s">
        <v>852</v>
      </c>
      <c r="F21" s="98" t="s">
        <v>41</v>
      </c>
      <c r="G21" s="97" t="s">
        <v>209</v>
      </c>
      <c r="H21" s="97" t="s">
        <v>853</v>
      </c>
    </row>
    <row r="22">
      <c r="D22" s="97" t="s">
        <v>854</v>
      </c>
      <c r="E22" s="97" t="s">
        <v>855</v>
      </c>
      <c r="F22" s="98" t="s">
        <v>41</v>
      </c>
      <c r="G22" s="99" t="s">
        <v>403</v>
      </c>
      <c r="H22" s="111" t="s">
        <v>856</v>
      </c>
    </row>
    <row r="23">
      <c r="C23" s="88" t="s">
        <v>857</v>
      </c>
      <c r="E23" s="88" t="s">
        <v>858</v>
      </c>
      <c r="F23" s="91" t="s">
        <v>859</v>
      </c>
      <c r="G23" s="88" t="s">
        <v>186</v>
      </c>
      <c r="H23" s="133" t="s">
        <v>860</v>
      </c>
    </row>
    <row r="24">
      <c r="C24" s="88" t="s">
        <v>861</v>
      </c>
      <c r="E24" s="88" t="s">
        <v>41</v>
      </c>
      <c r="F24" s="158" t="s">
        <v>862</v>
      </c>
      <c r="G24" s="103" t="s">
        <v>403</v>
      </c>
      <c r="H24" s="88" t="s">
        <v>863</v>
      </c>
    </row>
    <row r="25">
      <c r="B25" s="104" t="s">
        <v>864</v>
      </c>
      <c r="E25" s="106" t="s">
        <v>865</v>
      </c>
      <c r="F25" s="104" t="s">
        <v>866</v>
      </c>
      <c r="G25" s="106" t="s">
        <v>186</v>
      </c>
      <c r="H25" s="159" t="s">
        <v>867</v>
      </c>
    </row>
    <row r="26">
      <c r="B26" s="104" t="s">
        <v>868</v>
      </c>
      <c r="E26" s="106" t="s">
        <v>869</v>
      </c>
      <c r="F26" s="104" t="s">
        <v>870</v>
      </c>
      <c r="G26" s="106" t="s">
        <v>186</v>
      </c>
      <c r="H26" s="159" t="s">
        <v>871</v>
      </c>
    </row>
    <row r="27">
      <c r="B27" s="104" t="s">
        <v>872</v>
      </c>
      <c r="E27" s="106" t="s">
        <v>873</v>
      </c>
      <c r="F27" s="104" t="s">
        <v>41</v>
      </c>
      <c r="G27" s="106" t="s">
        <v>186</v>
      </c>
      <c r="H27" s="159" t="s">
        <v>874</v>
      </c>
    </row>
    <row r="28">
      <c r="B28" s="104" t="s">
        <v>875</v>
      </c>
      <c r="E28" s="106" t="s">
        <v>876</v>
      </c>
      <c r="F28" s="104" t="s">
        <v>41</v>
      </c>
      <c r="G28" s="106" t="s">
        <v>186</v>
      </c>
      <c r="H28" s="119" t="s">
        <v>877</v>
      </c>
    </row>
    <row r="29">
      <c r="A29" s="84" t="s">
        <v>878</v>
      </c>
      <c r="C29" s="109"/>
      <c r="E29" s="84" t="s">
        <v>879</v>
      </c>
      <c r="F29" s="95" t="s">
        <v>880</v>
      </c>
      <c r="G29" s="84" t="s">
        <v>186</v>
      </c>
      <c r="H29" s="160" t="s">
        <v>793</v>
      </c>
    </row>
    <row r="30">
      <c r="C30" s="89" t="s">
        <v>881</v>
      </c>
      <c r="E30" s="87" t="s">
        <v>41</v>
      </c>
      <c r="F30" s="88" t="s">
        <v>882</v>
      </c>
      <c r="G30" s="88" t="s">
        <v>209</v>
      </c>
      <c r="H30" s="114" t="s">
        <v>883</v>
      </c>
    </row>
    <row r="31">
      <c r="C31" s="89" t="s">
        <v>884</v>
      </c>
      <c r="E31" s="88" t="s">
        <v>41</v>
      </c>
      <c r="F31" s="91" t="s">
        <v>41</v>
      </c>
      <c r="G31" s="88" t="s">
        <v>209</v>
      </c>
      <c r="H31" s="157" t="s">
        <v>877</v>
      </c>
    </row>
    <row r="32">
      <c r="A32" s="145" t="s">
        <v>885</v>
      </c>
      <c r="B32" s="93"/>
      <c r="C32" s="109"/>
      <c r="E32" s="83" t="s">
        <v>41</v>
      </c>
      <c r="F32" s="84" t="s">
        <v>886</v>
      </c>
      <c r="G32" s="84" t="s">
        <v>186</v>
      </c>
      <c r="H32" s="160" t="s">
        <v>887</v>
      </c>
    </row>
    <row r="33">
      <c r="C33" s="88" t="s">
        <v>888</v>
      </c>
      <c r="E33" s="88" t="s">
        <v>889</v>
      </c>
      <c r="F33" s="91" t="s">
        <v>890</v>
      </c>
      <c r="G33" s="88" t="s">
        <v>209</v>
      </c>
      <c r="H33" s="133" t="s">
        <v>891</v>
      </c>
    </row>
    <row r="34">
      <c r="C34" s="88" t="s">
        <v>892</v>
      </c>
      <c r="D34" s="103"/>
      <c r="E34" s="88" t="s">
        <v>893</v>
      </c>
      <c r="F34" s="91" t="s">
        <v>894</v>
      </c>
      <c r="G34" s="88" t="s">
        <v>209</v>
      </c>
      <c r="H34" s="114" t="s">
        <v>793</v>
      </c>
    </row>
    <row r="35">
      <c r="D35" s="97" t="s">
        <v>895</v>
      </c>
      <c r="E35" s="97" t="s">
        <v>896</v>
      </c>
      <c r="F35" s="98" t="s">
        <v>41</v>
      </c>
      <c r="G35" s="99" t="s">
        <v>403</v>
      </c>
      <c r="H35" s="138" t="s">
        <v>793</v>
      </c>
    </row>
    <row r="36">
      <c r="D36" s="99" t="s">
        <v>897</v>
      </c>
      <c r="E36" s="97" t="s">
        <v>41</v>
      </c>
      <c r="F36" s="98" t="s">
        <v>41</v>
      </c>
      <c r="G36" s="99" t="s">
        <v>403</v>
      </c>
      <c r="H36" s="138" t="s">
        <v>793</v>
      </c>
    </row>
    <row r="37">
      <c r="D37" s="99" t="s">
        <v>898</v>
      </c>
      <c r="E37" s="97" t="s">
        <v>899</v>
      </c>
      <c r="F37" s="98" t="s">
        <v>41</v>
      </c>
      <c r="G37" s="97" t="s">
        <v>209</v>
      </c>
      <c r="H37" s="138" t="s">
        <v>793</v>
      </c>
    </row>
    <row r="38">
      <c r="D38" s="97" t="s">
        <v>900</v>
      </c>
      <c r="E38" s="97" t="s">
        <v>41</v>
      </c>
      <c r="F38" s="98" t="s">
        <v>41</v>
      </c>
      <c r="G38" s="97" t="s">
        <v>209</v>
      </c>
      <c r="H38" s="138" t="s">
        <v>793</v>
      </c>
    </row>
    <row r="39">
      <c r="D39" s="97" t="s">
        <v>901</v>
      </c>
      <c r="E39" s="97" t="s">
        <v>902</v>
      </c>
      <c r="F39" s="98" t="s">
        <v>41</v>
      </c>
      <c r="G39" s="99" t="s">
        <v>403</v>
      </c>
      <c r="H39" s="138" t="s">
        <v>793</v>
      </c>
    </row>
    <row r="40">
      <c r="B40" s="104" t="s">
        <v>903</v>
      </c>
      <c r="E40" s="106" t="s">
        <v>904</v>
      </c>
      <c r="F40" s="104" t="s">
        <v>41</v>
      </c>
      <c r="G40" s="106" t="s">
        <v>186</v>
      </c>
      <c r="H40" s="106" t="s">
        <v>424</v>
      </c>
    </row>
    <row r="41">
      <c r="B41" s="104" t="s">
        <v>905</v>
      </c>
      <c r="E41" s="106" t="s">
        <v>906</v>
      </c>
      <c r="F41" s="104" t="s">
        <v>907</v>
      </c>
      <c r="G41" s="106" t="s">
        <v>186</v>
      </c>
      <c r="H41" s="106" t="s">
        <v>908</v>
      </c>
    </row>
    <row r="42">
      <c r="B42" s="104" t="s">
        <v>909</v>
      </c>
      <c r="E42" s="106" t="s">
        <v>910</v>
      </c>
      <c r="F42" s="104" t="s">
        <v>911</v>
      </c>
      <c r="G42" s="106" t="s">
        <v>186</v>
      </c>
      <c r="H42" s="106" t="s">
        <v>912</v>
      </c>
    </row>
    <row r="43">
      <c r="A43" s="84" t="s">
        <v>913</v>
      </c>
      <c r="E43" s="83" t="s">
        <v>41</v>
      </c>
      <c r="F43" s="84" t="s">
        <v>914</v>
      </c>
      <c r="G43" s="84" t="s">
        <v>209</v>
      </c>
      <c r="H43" s="84" t="s">
        <v>915</v>
      </c>
    </row>
    <row r="44">
      <c r="A44" s="85" t="s">
        <v>916</v>
      </c>
      <c r="C44" s="161"/>
      <c r="E44" s="84" t="s">
        <v>917</v>
      </c>
      <c r="F44" s="95" t="s">
        <v>41</v>
      </c>
      <c r="G44" s="84" t="s">
        <v>186</v>
      </c>
      <c r="H44" s="149" t="s">
        <v>918</v>
      </c>
    </row>
    <row r="45">
      <c r="C45" s="88" t="s">
        <v>919</v>
      </c>
      <c r="D45" s="103"/>
      <c r="E45" s="88" t="s">
        <v>41</v>
      </c>
      <c r="F45" s="91" t="s">
        <v>41</v>
      </c>
      <c r="G45" s="88" t="s">
        <v>186</v>
      </c>
      <c r="H45" s="157" t="s">
        <v>920</v>
      </c>
    </row>
    <row r="46">
      <c r="D46" s="99" t="s">
        <v>921</v>
      </c>
      <c r="E46" s="99" t="s">
        <v>922</v>
      </c>
      <c r="F46" s="98" t="s">
        <v>41</v>
      </c>
      <c r="G46" s="97" t="s">
        <v>186</v>
      </c>
      <c r="H46" s="138" t="s">
        <v>923</v>
      </c>
    </row>
    <row r="47">
      <c r="D47" s="99" t="s">
        <v>924</v>
      </c>
      <c r="E47" s="97" t="s">
        <v>41</v>
      </c>
      <c r="F47" s="98" t="s">
        <v>41</v>
      </c>
      <c r="G47" s="97" t="s">
        <v>186</v>
      </c>
      <c r="H47" s="162" t="s">
        <v>925</v>
      </c>
    </row>
    <row r="48">
      <c r="D48" s="97" t="s">
        <v>926</v>
      </c>
      <c r="E48" s="99" t="s">
        <v>927</v>
      </c>
      <c r="F48" s="98" t="s">
        <v>41</v>
      </c>
      <c r="G48" s="97" t="s">
        <v>186</v>
      </c>
      <c r="H48" s="138" t="s">
        <v>928</v>
      </c>
    </row>
    <row r="49">
      <c r="D49" s="97" t="s">
        <v>929</v>
      </c>
      <c r="E49" s="100" t="s">
        <v>41</v>
      </c>
      <c r="F49" s="97" t="s">
        <v>930</v>
      </c>
      <c r="G49" s="97" t="s">
        <v>209</v>
      </c>
      <c r="H49" s="162" t="s">
        <v>925</v>
      </c>
    </row>
    <row r="50">
      <c r="C50" s="88" t="s">
        <v>931</v>
      </c>
      <c r="E50" s="88" t="s">
        <v>41</v>
      </c>
      <c r="F50" s="91" t="s">
        <v>41</v>
      </c>
      <c r="G50" s="88" t="s">
        <v>186</v>
      </c>
      <c r="H50" s="157" t="s">
        <v>920</v>
      </c>
    </row>
    <row r="51">
      <c r="A51" s="84" t="s">
        <v>932</v>
      </c>
      <c r="E51" s="84" t="s">
        <v>933</v>
      </c>
      <c r="F51" s="163" t="s">
        <v>934</v>
      </c>
      <c r="G51" s="84" t="s">
        <v>209</v>
      </c>
      <c r="H51" s="160" t="s">
        <v>935</v>
      </c>
    </row>
    <row r="52">
      <c r="A52" s="85" t="s">
        <v>936</v>
      </c>
      <c r="E52" s="164" t="s">
        <v>937</v>
      </c>
      <c r="F52" s="84" t="s">
        <v>41</v>
      </c>
      <c r="G52" s="84" t="s">
        <v>186</v>
      </c>
      <c r="H52" s="84" t="s">
        <v>77</v>
      </c>
    </row>
    <row r="53">
      <c r="A53" s="84" t="s">
        <v>938</v>
      </c>
      <c r="B53" s="93"/>
      <c r="E53" s="84" t="s">
        <v>41</v>
      </c>
      <c r="F53" s="95" t="s">
        <v>41</v>
      </c>
      <c r="G53" s="84" t="s">
        <v>186</v>
      </c>
      <c r="H53" s="84" t="s">
        <v>939</v>
      </c>
    </row>
    <row r="54">
      <c r="B54" s="93"/>
      <c r="C54" s="88" t="s">
        <v>940</v>
      </c>
      <c r="E54" s="88" t="s">
        <v>41</v>
      </c>
      <c r="F54" s="91" t="s">
        <v>41</v>
      </c>
      <c r="G54" s="88" t="s">
        <v>186</v>
      </c>
      <c r="H54" s="116" t="s">
        <v>941</v>
      </c>
    </row>
    <row r="55">
      <c r="C55" s="89" t="s">
        <v>942</v>
      </c>
      <c r="E55" s="88" t="s">
        <v>41</v>
      </c>
      <c r="F55" s="91" t="s">
        <v>41</v>
      </c>
      <c r="G55" s="88" t="s">
        <v>209</v>
      </c>
      <c r="H55" s="165" t="s">
        <v>213</v>
      </c>
    </row>
    <row r="56">
      <c r="C56" s="89" t="s">
        <v>943</v>
      </c>
      <c r="D56" s="90"/>
      <c r="E56" s="88" t="s">
        <v>944</v>
      </c>
      <c r="F56" s="91" t="s">
        <v>41</v>
      </c>
      <c r="G56" s="88" t="s">
        <v>209</v>
      </c>
      <c r="H56" s="114" t="s">
        <v>945</v>
      </c>
    </row>
    <row r="57">
      <c r="D57" s="99" t="s">
        <v>946</v>
      </c>
      <c r="E57" s="99" t="s">
        <v>947</v>
      </c>
      <c r="F57" s="98" t="s">
        <v>41</v>
      </c>
      <c r="G57" s="97" t="s">
        <v>209</v>
      </c>
      <c r="H57" s="138" t="s">
        <v>948</v>
      </c>
    </row>
    <row r="58">
      <c r="D58" s="99" t="s">
        <v>949</v>
      </c>
      <c r="E58" s="97" t="s">
        <v>950</v>
      </c>
      <c r="F58" s="98" t="s">
        <v>41</v>
      </c>
      <c r="G58" s="97" t="s">
        <v>209</v>
      </c>
      <c r="H58" s="138" t="s">
        <v>951</v>
      </c>
    </row>
    <row r="59">
      <c r="D59" s="99" t="s">
        <v>952</v>
      </c>
      <c r="E59" s="97" t="s">
        <v>953</v>
      </c>
      <c r="F59" s="98" t="s">
        <v>41</v>
      </c>
      <c r="G59" s="97" t="s">
        <v>209</v>
      </c>
      <c r="H59" s="138" t="s">
        <v>954</v>
      </c>
    </row>
    <row r="60">
      <c r="D60" s="99" t="s">
        <v>955</v>
      </c>
      <c r="E60" s="97" t="s">
        <v>956</v>
      </c>
      <c r="F60" s="98" t="s">
        <v>41</v>
      </c>
      <c r="G60" s="97" t="s">
        <v>209</v>
      </c>
      <c r="H60" s="138" t="s">
        <v>957</v>
      </c>
    </row>
    <row r="61">
      <c r="D61" s="97" t="s">
        <v>958</v>
      </c>
      <c r="E61" s="100" t="s">
        <v>41</v>
      </c>
      <c r="F61" s="97" t="s">
        <v>959</v>
      </c>
      <c r="G61" s="97" t="s">
        <v>209</v>
      </c>
      <c r="H61" s="138" t="s">
        <v>960</v>
      </c>
    </row>
    <row r="62">
      <c r="D62" s="97" t="s">
        <v>961</v>
      </c>
      <c r="E62" s="97" t="s">
        <v>41</v>
      </c>
      <c r="F62" s="98" t="s">
        <v>41</v>
      </c>
      <c r="G62" s="97" t="s">
        <v>209</v>
      </c>
      <c r="H62" s="138" t="s">
        <v>962</v>
      </c>
    </row>
    <row r="63">
      <c r="D63" s="97" t="s">
        <v>963</v>
      </c>
      <c r="E63" s="97" t="s">
        <v>964</v>
      </c>
      <c r="F63" s="98" t="s">
        <v>41</v>
      </c>
      <c r="G63" s="97" t="s">
        <v>209</v>
      </c>
      <c r="H63" s="138" t="s">
        <v>965</v>
      </c>
    </row>
    <row r="64">
      <c r="D64" s="97" t="s">
        <v>966</v>
      </c>
      <c r="E64" s="97" t="s">
        <v>41</v>
      </c>
      <c r="F64" s="98" t="s">
        <v>41</v>
      </c>
      <c r="G64" s="99" t="s">
        <v>403</v>
      </c>
      <c r="H64" s="138" t="s">
        <v>967</v>
      </c>
    </row>
    <row r="65">
      <c r="C65" s="88" t="s">
        <v>968</v>
      </c>
      <c r="E65" s="88" t="s">
        <v>41</v>
      </c>
      <c r="F65" s="91" t="s">
        <v>41</v>
      </c>
      <c r="G65" s="88" t="s">
        <v>209</v>
      </c>
      <c r="H65" s="114" t="s">
        <v>969</v>
      </c>
    </row>
    <row r="66">
      <c r="B66" s="104" t="s">
        <v>970</v>
      </c>
      <c r="E66" s="106" t="s">
        <v>971</v>
      </c>
      <c r="F66" s="104" t="s">
        <v>41</v>
      </c>
      <c r="G66" s="106" t="s">
        <v>209</v>
      </c>
      <c r="H66" s="106" t="s">
        <v>229</v>
      </c>
    </row>
    <row r="67">
      <c r="A67" s="84" t="s">
        <v>972</v>
      </c>
      <c r="B67" s="93"/>
      <c r="E67" s="84" t="s">
        <v>973</v>
      </c>
      <c r="F67" s="95" t="s">
        <v>41</v>
      </c>
      <c r="G67" s="84" t="s">
        <v>186</v>
      </c>
      <c r="H67" s="109" t="s">
        <v>974</v>
      </c>
    </row>
    <row r="68">
      <c r="B68" s="93"/>
      <c r="C68" s="103" t="s">
        <v>975</v>
      </c>
      <c r="E68" s="88" t="s">
        <v>976</v>
      </c>
      <c r="F68" s="91" t="s">
        <v>977</v>
      </c>
      <c r="G68" s="88" t="s">
        <v>186</v>
      </c>
      <c r="H68" s="114" t="s">
        <v>978</v>
      </c>
    </row>
    <row r="69">
      <c r="C69" s="88" t="s">
        <v>979</v>
      </c>
      <c r="E69" s="88" t="s">
        <v>980</v>
      </c>
      <c r="F69" s="91" t="s">
        <v>981</v>
      </c>
      <c r="G69" s="88" t="s">
        <v>186</v>
      </c>
      <c r="H69" s="88" t="s">
        <v>982</v>
      </c>
    </row>
    <row r="70">
      <c r="C70" s="103" t="s">
        <v>983</v>
      </c>
      <c r="E70" s="88" t="s">
        <v>984</v>
      </c>
      <c r="F70" s="91" t="s">
        <v>985</v>
      </c>
      <c r="G70" s="89" t="s">
        <v>186</v>
      </c>
      <c r="H70" s="114" t="s">
        <v>986</v>
      </c>
    </row>
    <row r="71">
      <c r="C71" s="103" t="s">
        <v>987</v>
      </c>
      <c r="E71" s="88" t="s">
        <v>988</v>
      </c>
      <c r="F71" s="91" t="s">
        <v>989</v>
      </c>
      <c r="G71" s="88" t="s">
        <v>186</v>
      </c>
      <c r="H71" s="88" t="s">
        <v>990</v>
      </c>
    </row>
    <row r="72">
      <c r="C72" s="103" t="s">
        <v>991</v>
      </c>
      <c r="E72" s="88" t="s">
        <v>992</v>
      </c>
      <c r="F72" s="91" t="s">
        <v>993</v>
      </c>
      <c r="G72" s="88" t="s">
        <v>209</v>
      </c>
      <c r="H72" s="88" t="s">
        <v>994</v>
      </c>
    </row>
    <row r="73">
      <c r="C73" s="103" t="s">
        <v>995</v>
      </c>
      <c r="E73" s="88" t="s">
        <v>996</v>
      </c>
      <c r="F73" s="91" t="s">
        <v>41</v>
      </c>
      <c r="G73" s="88" t="s">
        <v>209</v>
      </c>
      <c r="H73" s="88" t="s">
        <v>997</v>
      </c>
    </row>
    <row r="74">
      <c r="B74" s="166" t="s">
        <v>998</v>
      </c>
      <c r="E74" s="106" t="s">
        <v>999</v>
      </c>
      <c r="F74" s="104" t="s">
        <v>41</v>
      </c>
      <c r="G74" s="106" t="s">
        <v>209</v>
      </c>
      <c r="H74" s="119" t="s">
        <v>1000</v>
      </c>
    </row>
    <row r="75">
      <c r="B75" s="166" t="s">
        <v>1001</v>
      </c>
      <c r="E75" s="106" t="s">
        <v>41</v>
      </c>
      <c r="F75" s="104" t="s">
        <v>41</v>
      </c>
      <c r="G75" s="106" t="s">
        <v>209</v>
      </c>
      <c r="H75" s="119" t="s">
        <v>1000</v>
      </c>
    </row>
    <row r="76">
      <c r="A76" s="85" t="s">
        <v>1002</v>
      </c>
      <c r="E76" s="84" t="s">
        <v>1003</v>
      </c>
      <c r="F76" s="95" t="s">
        <v>1004</v>
      </c>
      <c r="G76" s="84" t="s">
        <v>186</v>
      </c>
      <c r="H76" s="160" t="s">
        <v>1005</v>
      </c>
    </row>
  </sheetData>
  <autoFilter ref="$G$2:$G$8"/>
  <customSheetViews>
    <customSheetView guid="{C103ECE9-5D35-4A9E-9396-8F6D912E796E}" filter="1" showAutoFilter="1">
      <autoFilter ref="$G$2:$G$8"/>
    </customSheetView>
  </customSheetViews>
  <mergeCells count="59">
    <mergeCell ref="B54:B65"/>
    <mergeCell ref="B68:B73"/>
    <mergeCell ref="A6:A28"/>
    <mergeCell ref="A29:B31"/>
    <mergeCell ref="A32:A42"/>
    <mergeCell ref="B32:B39"/>
    <mergeCell ref="A44:B50"/>
    <mergeCell ref="A53:A66"/>
    <mergeCell ref="A67:A75"/>
    <mergeCell ref="B6:D6"/>
    <mergeCell ref="C7:D7"/>
    <mergeCell ref="C10:D10"/>
    <mergeCell ref="C11:D11"/>
    <mergeCell ref="A1:B1"/>
    <mergeCell ref="A3:B3"/>
    <mergeCell ref="C3:C5"/>
    <mergeCell ref="A4:B4"/>
    <mergeCell ref="A5:B5"/>
    <mergeCell ref="B7:B24"/>
    <mergeCell ref="C17:C22"/>
    <mergeCell ref="C8:C9"/>
    <mergeCell ref="C12:C16"/>
    <mergeCell ref="C23:D23"/>
    <mergeCell ref="C24:D24"/>
    <mergeCell ref="B25:D25"/>
    <mergeCell ref="B26:D26"/>
    <mergeCell ref="B27:D27"/>
    <mergeCell ref="B28:D28"/>
    <mergeCell ref="C29:D29"/>
    <mergeCell ref="C30:D30"/>
    <mergeCell ref="C31:D31"/>
    <mergeCell ref="C32:D32"/>
    <mergeCell ref="C33:D33"/>
    <mergeCell ref="C34:C39"/>
    <mergeCell ref="B40:D40"/>
    <mergeCell ref="B41:D41"/>
    <mergeCell ref="B42:D42"/>
    <mergeCell ref="A43:D43"/>
    <mergeCell ref="C44:D44"/>
    <mergeCell ref="C45:C49"/>
    <mergeCell ref="C50:D50"/>
    <mergeCell ref="A51:D51"/>
    <mergeCell ref="A52:D52"/>
    <mergeCell ref="B53:D53"/>
    <mergeCell ref="C54:D54"/>
    <mergeCell ref="C55:D55"/>
    <mergeCell ref="C56:C64"/>
    <mergeCell ref="C65:D65"/>
    <mergeCell ref="C73:D73"/>
    <mergeCell ref="B74:D74"/>
    <mergeCell ref="B75:D75"/>
    <mergeCell ref="A76:D76"/>
    <mergeCell ref="B66:D66"/>
    <mergeCell ref="B67:D67"/>
    <mergeCell ref="C68:D68"/>
    <mergeCell ref="C69:D69"/>
    <mergeCell ref="C70:D70"/>
    <mergeCell ref="C71:D71"/>
    <mergeCell ref="C72:D72"/>
  </mergeCells>
  <hyperlinks>
    <hyperlink r:id="rId2" ref="H6"/>
    <hyperlink r:id="rId3" ref="H8"/>
    <hyperlink r:id="rId4" ref="H9"/>
    <hyperlink r:id="rId5" ref="H12"/>
    <hyperlink r:id="rId6" ref="H13"/>
    <hyperlink r:id="rId7" ref="H14"/>
    <hyperlink r:id="rId8" ref="H15"/>
    <hyperlink r:id="rId9" ref="H16"/>
    <hyperlink r:id="rId10" ref="H22"/>
    <hyperlink r:id="rId11" ref="H23"/>
    <hyperlink r:id="rId12" ref="H25"/>
    <hyperlink r:id="rId13" ref="H26"/>
    <hyperlink r:id="rId14" ref="H27"/>
    <hyperlink r:id="rId15" ref="H29"/>
    <hyperlink r:id="rId16" ref="H30"/>
    <hyperlink r:id="rId17" ref="H32"/>
    <hyperlink r:id="rId18" ref="H33"/>
    <hyperlink r:id="rId19" ref="H34"/>
    <hyperlink r:id="rId20" ref="H35"/>
    <hyperlink r:id="rId21" ref="H36"/>
    <hyperlink r:id="rId22" ref="H37"/>
    <hyperlink r:id="rId23" ref="H38"/>
    <hyperlink r:id="rId24" ref="H39"/>
    <hyperlink r:id="rId25" ref="H44"/>
    <hyperlink r:id="rId26" ref="H46"/>
    <hyperlink r:id="rId27" ref="H47"/>
    <hyperlink r:id="rId28" ref="H48"/>
    <hyperlink r:id="rId29" ref="H49"/>
    <hyperlink r:id="rId30" ref="H51"/>
    <hyperlink r:id="rId31" ref="H54"/>
    <hyperlink r:id="rId32" ref="H56"/>
    <hyperlink r:id="rId33" ref="H57"/>
    <hyperlink r:id="rId34" ref="H58"/>
    <hyperlink r:id="rId35" ref="H59"/>
    <hyperlink r:id="rId36" ref="H60"/>
    <hyperlink r:id="rId37" ref="H61"/>
    <hyperlink r:id="rId38" ref="H62"/>
    <hyperlink r:id="rId39" ref="H63"/>
    <hyperlink r:id="rId40" ref="H64"/>
    <hyperlink r:id="rId41" ref="H65"/>
    <hyperlink r:id="rId42" ref="H68"/>
    <hyperlink r:id="rId43" ref="H70"/>
    <hyperlink r:id="rId44" ref="H76"/>
  </hyperlinks>
  <drawing r:id="rId45"/>
  <legacyDrawing r:id="rId4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1.38"/>
    <col customWidth="1" min="2" max="2" width="11.0"/>
    <col customWidth="1" min="3" max="3" width="16.63"/>
    <col customWidth="1" min="4" max="4" width="7.88"/>
    <col customWidth="1" min="5" max="5" width="48.25"/>
    <col customWidth="1" min="6" max="6" width="68.5"/>
    <col customWidth="1" min="7" max="7" width="11.38"/>
    <col customWidth="1" min="8" max="8" width="75.25"/>
  </cols>
  <sheetData>
    <row r="1" ht="24.75" customHeight="1">
      <c r="A1" s="75" t="s">
        <v>1006</v>
      </c>
      <c r="C1" s="76" t="s">
        <v>179</v>
      </c>
      <c r="D1" s="77">
        <f>SUBTOTAL(103, G3:G8)</f>
        <v>6</v>
      </c>
      <c r="E1" s="56" t="s">
        <v>41</v>
      </c>
      <c r="F1" s="72" t="s">
        <v>41</v>
      </c>
      <c r="G1" s="72" t="s">
        <v>41</v>
      </c>
      <c r="H1" s="72" t="s">
        <v>41</v>
      </c>
    </row>
    <row r="2">
      <c r="A2" s="78" t="s">
        <v>180</v>
      </c>
      <c r="B2" s="79" t="s">
        <v>181</v>
      </c>
      <c r="C2" s="80" t="s">
        <v>45</v>
      </c>
      <c r="D2" s="79" t="s">
        <v>82</v>
      </c>
      <c r="E2" s="79" t="s">
        <v>182</v>
      </c>
      <c r="F2" s="79" t="s">
        <v>183</v>
      </c>
      <c r="G2" s="79" t="s">
        <v>63</v>
      </c>
      <c r="H2" s="80" t="s">
        <v>184</v>
      </c>
    </row>
    <row r="3">
      <c r="A3" s="151"/>
      <c r="B3" s="152"/>
      <c r="C3" s="129" t="s">
        <v>1007</v>
      </c>
      <c r="D3" s="152"/>
      <c r="E3" s="129" t="s">
        <v>1008</v>
      </c>
      <c r="F3" s="91" t="s">
        <v>41</v>
      </c>
      <c r="G3" s="129" t="s">
        <v>186</v>
      </c>
      <c r="H3" s="129" t="s">
        <v>213</v>
      </c>
    </row>
    <row r="4">
      <c r="A4" s="84" t="s">
        <v>1009</v>
      </c>
      <c r="E4" s="84" t="s">
        <v>1010</v>
      </c>
      <c r="F4" s="84" t="s">
        <v>1011</v>
      </c>
      <c r="G4" s="149" t="s">
        <v>186</v>
      </c>
      <c r="H4" s="149" t="s">
        <v>1012</v>
      </c>
    </row>
    <row r="5">
      <c r="A5" s="84" t="s">
        <v>144</v>
      </c>
      <c r="E5" s="84" t="s">
        <v>1013</v>
      </c>
      <c r="F5" s="95" t="s">
        <v>1014</v>
      </c>
      <c r="G5" s="149" t="s">
        <v>186</v>
      </c>
      <c r="H5" s="149" t="s">
        <v>1015</v>
      </c>
    </row>
    <row r="6">
      <c r="A6" s="84" t="s">
        <v>149</v>
      </c>
      <c r="E6" s="84" t="s">
        <v>1016</v>
      </c>
      <c r="F6" s="95" t="s">
        <v>1017</v>
      </c>
      <c r="G6" s="149" t="s">
        <v>186</v>
      </c>
      <c r="H6" s="149" t="s">
        <v>1018</v>
      </c>
    </row>
    <row r="7">
      <c r="A7" s="84" t="s">
        <v>1019</v>
      </c>
      <c r="E7" s="84" t="s">
        <v>1020</v>
      </c>
      <c r="F7" s="95" t="s">
        <v>1021</v>
      </c>
      <c r="G7" s="149" t="s">
        <v>186</v>
      </c>
      <c r="H7" s="160" t="s">
        <v>1022</v>
      </c>
    </row>
    <row r="8">
      <c r="A8" s="109" t="s">
        <v>1023</v>
      </c>
      <c r="E8" s="84" t="s">
        <v>1024</v>
      </c>
      <c r="F8" s="95" t="s">
        <v>1025</v>
      </c>
      <c r="G8" s="84" t="s">
        <v>186</v>
      </c>
      <c r="H8" s="84" t="s">
        <v>56</v>
      </c>
    </row>
  </sheetData>
  <autoFilter ref="$G$2:$G$8"/>
  <customSheetViews>
    <customSheetView guid="{C103ECE9-5D35-4A9E-9396-8F6D912E796E}" filter="1" showAutoFilter="1">
      <autoFilter ref="$G$2:$G$8"/>
    </customSheetView>
  </customSheetViews>
  <mergeCells count="8">
    <mergeCell ref="A1:B1"/>
    <mergeCell ref="A3:B3"/>
    <mergeCell ref="C3:D3"/>
    <mergeCell ref="A4:D4"/>
    <mergeCell ref="A5:D5"/>
    <mergeCell ref="A6:D6"/>
    <mergeCell ref="A7:D7"/>
    <mergeCell ref="A8:D8"/>
  </mergeCells>
  <hyperlinks>
    <hyperlink r:id="rId2" ref="G4"/>
    <hyperlink r:id="rId3" ref="H4"/>
    <hyperlink r:id="rId4" ref="G5"/>
    <hyperlink r:id="rId5" ref="H5"/>
    <hyperlink r:id="rId6" ref="G6"/>
    <hyperlink r:id="rId7" ref="H6"/>
    <hyperlink r:id="rId8" ref="G7"/>
    <hyperlink r:id="rId9" ref="H7"/>
  </hyperlinks>
  <drawing r:id="rId10"/>
  <legacyDrawing r:id="rId1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1.0"/>
    <col customWidth="1" min="2" max="2" width="11.38"/>
    <col customWidth="1" min="3" max="3" width="40.38"/>
    <col customWidth="1" min="4" max="4" width="44.25"/>
    <col customWidth="1" min="5" max="5" width="11.38"/>
    <col customWidth="1" min="6" max="6" width="41.88"/>
    <col customWidth="1" min="7" max="7" width="14.5"/>
    <col customWidth="1" min="8" max="8" width="17.0"/>
    <col customWidth="1" min="9" max="10" width="20.5"/>
    <col customWidth="1" min="11" max="11" width="38.13"/>
    <col customWidth="1" min="12" max="12" width="38.38"/>
  </cols>
  <sheetData>
    <row r="1" ht="25.5" customHeight="1">
      <c r="A1" s="167" t="s">
        <v>1026</v>
      </c>
      <c r="B1" s="168" t="s">
        <v>1027</v>
      </c>
      <c r="C1" s="169">
        <f>SUBTOTAL(103, E3:E111)</f>
        <v>109</v>
      </c>
      <c r="D1" s="56" t="s">
        <v>41</v>
      </c>
      <c r="E1" s="56" t="s">
        <v>41</v>
      </c>
      <c r="F1" s="56" t="s">
        <v>41</v>
      </c>
      <c r="G1" s="23" t="s">
        <v>1028</v>
      </c>
      <c r="H1" s="170"/>
      <c r="I1" s="147" t="s">
        <v>1029</v>
      </c>
    </row>
    <row r="2">
      <c r="A2" s="147" t="s">
        <v>1030</v>
      </c>
      <c r="B2" s="147" t="s">
        <v>1031</v>
      </c>
      <c r="C2" s="147" t="s">
        <v>1032</v>
      </c>
      <c r="D2" s="147" t="s">
        <v>1033</v>
      </c>
      <c r="E2" s="147" t="s">
        <v>63</v>
      </c>
      <c r="F2" s="147" t="s">
        <v>1034</v>
      </c>
      <c r="G2" s="23" t="s">
        <v>69</v>
      </c>
      <c r="H2" s="29" t="s">
        <v>1035</v>
      </c>
      <c r="I2" s="61" t="s">
        <v>1036</v>
      </c>
      <c r="J2" s="61" t="s">
        <v>1037</v>
      </c>
      <c r="K2" s="147" t="s">
        <v>1038</v>
      </c>
      <c r="L2" s="61" t="s">
        <v>1039</v>
      </c>
    </row>
    <row r="3">
      <c r="A3" s="171" t="s">
        <v>1040</v>
      </c>
      <c r="B3" s="172"/>
      <c r="D3" s="173" t="s">
        <v>1041</v>
      </c>
      <c r="E3" s="173" t="s">
        <v>41</v>
      </c>
      <c r="F3" s="173" t="s">
        <v>41</v>
      </c>
      <c r="G3" s="174" t="s">
        <v>41</v>
      </c>
      <c r="H3" s="175" t="s">
        <v>41</v>
      </c>
      <c r="I3" s="173" t="s">
        <v>41</v>
      </c>
      <c r="J3" s="173" t="s">
        <v>41</v>
      </c>
      <c r="K3" s="173" t="s">
        <v>41</v>
      </c>
      <c r="L3" s="173" t="s">
        <v>41</v>
      </c>
    </row>
    <row r="4">
      <c r="B4" s="176" t="s">
        <v>1042</v>
      </c>
      <c r="C4" s="147" t="s">
        <v>1043</v>
      </c>
      <c r="D4" s="147" t="s">
        <v>1044</v>
      </c>
      <c r="E4" s="147" t="s">
        <v>186</v>
      </c>
      <c r="F4" s="147" t="s">
        <v>797</v>
      </c>
      <c r="G4" s="23" t="s">
        <v>1045</v>
      </c>
      <c r="H4" s="29" t="s">
        <v>1046</v>
      </c>
      <c r="I4" s="147" t="s">
        <v>1047</v>
      </c>
      <c r="J4" s="61" t="s">
        <v>1047</v>
      </c>
      <c r="K4" s="147" t="s">
        <v>1048</v>
      </c>
      <c r="L4" s="147" t="s">
        <v>1049</v>
      </c>
    </row>
    <row r="5">
      <c r="C5" s="147" t="s">
        <v>1050</v>
      </c>
      <c r="D5" s="147" t="s">
        <v>1051</v>
      </c>
      <c r="E5" s="177" t="s">
        <v>186</v>
      </c>
      <c r="F5" s="177" t="s">
        <v>1052</v>
      </c>
      <c r="G5" s="23" t="s">
        <v>1053</v>
      </c>
      <c r="H5" s="29" t="s">
        <v>1046</v>
      </c>
      <c r="I5" s="147" t="s">
        <v>1054</v>
      </c>
      <c r="J5" s="147" t="s">
        <v>1047</v>
      </c>
      <c r="K5" s="147" t="s">
        <v>1048</v>
      </c>
      <c r="L5" s="147" t="s">
        <v>1055</v>
      </c>
    </row>
    <row r="6">
      <c r="C6" s="147" t="s">
        <v>1056</v>
      </c>
      <c r="D6" s="147" t="s">
        <v>1057</v>
      </c>
      <c r="E6" s="147" t="s">
        <v>209</v>
      </c>
      <c r="F6" s="147" t="s">
        <v>797</v>
      </c>
      <c r="G6" s="23" t="s">
        <v>1045</v>
      </c>
      <c r="H6" s="29" t="s">
        <v>1046</v>
      </c>
      <c r="I6" s="147" t="s">
        <v>1058</v>
      </c>
      <c r="J6" s="61" t="s">
        <v>1047</v>
      </c>
      <c r="K6" s="147" t="s">
        <v>1059</v>
      </c>
      <c r="L6" s="147" t="s">
        <v>1060</v>
      </c>
    </row>
    <row r="7">
      <c r="C7" s="147" t="s">
        <v>1061</v>
      </c>
      <c r="D7" s="147" t="s">
        <v>1062</v>
      </c>
      <c r="E7" s="147" t="s">
        <v>209</v>
      </c>
      <c r="F7" s="143" t="s">
        <v>1063</v>
      </c>
      <c r="G7" s="23" t="s">
        <v>1064</v>
      </c>
      <c r="H7" s="29" t="s">
        <v>1046</v>
      </c>
      <c r="I7" s="147" t="s">
        <v>1058</v>
      </c>
      <c r="J7" s="147" t="s">
        <v>1047</v>
      </c>
      <c r="K7" s="147" t="s">
        <v>1065</v>
      </c>
      <c r="L7" s="147" t="s">
        <v>1066</v>
      </c>
    </row>
    <row r="8">
      <c r="C8" s="147" t="s">
        <v>1067</v>
      </c>
      <c r="D8" s="147" t="s">
        <v>1068</v>
      </c>
      <c r="E8" s="147" t="s">
        <v>209</v>
      </c>
      <c r="F8" s="147" t="s">
        <v>77</v>
      </c>
      <c r="G8" s="23" t="s">
        <v>1045</v>
      </c>
      <c r="H8" s="29" t="s">
        <v>1046</v>
      </c>
      <c r="I8" s="147" t="s">
        <v>1069</v>
      </c>
      <c r="J8" s="147" t="s">
        <v>1047</v>
      </c>
      <c r="K8" s="147" t="s">
        <v>1070</v>
      </c>
      <c r="L8" s="147" t="s">
        <v>1071</v>
      </c>
    </row>
    <row r="9">
      <c r="C9" s="147" t="s">
        <v>1072</v>
      </c>
      <c r="D9" s="147" t="s">
        <v>1073</v>
      </c>
      <c r="E9" s="147" t="s">
        <v>209</v>
      </c>
      <c r="F9" s="147" t="s">
        <v>77</v>
      </c>
      <c r="G9" s="23" t="s">
        <v>1064</v>
      </c>
      <c r="H9" s="29" t="s">
        <v>1046</v>
      </c>
      <c r="I9" s="147" t="s">
        <v>1054</v>
      </c>
      <c r="J9" s="147" t="s">
        <v>1047</v>
      </c>
      <c r="K9" s="147" t="s">
        <v>1074</v>
      </c>
      <c r="L9" s="147" t="s">
        <v>1075</v>
      </c>
    </row>
    <row r="10">
      <c r="C10" s="147" t="s">
        <v>1076</v>
      </c>
      <c r="D10" s="147" t="s">
        <v>41</v>
      </c>
      <c r="E10" s="147" t="s">
        <v>209</v>
      </c>
      <c r="F10" s="147" t="s">
        <v>1077</v>
      </c>
      <c r="G10" s="23" t="s">
        <v>1064</v>
      </c>
      <c r="H10" s="29" t="s">
        <v>1046</v>
      </c>
      <c r="I10" s="61" t="s">
        <v>25</v>
      </c>
      <c r="J10" s="61" t="s">
        <v>25</v>
      </c>
      <c r="K10" s="147" t="s">
        <v>1078</v>
      </c>
      <c r="L10" s="147" t="s">
        <v>1079</v>
      </c>
    </row>
    <row r="11">
      <c r="C11" s="147" t="s">
        <v>1080</v>
      </c>
      <c r="D11" s="147" t="s">
        <v>41</v>
      </c>
      <c r="E11" s="147" t="s">
        <v>186</v>
      </c>
      <c r="F11" s="147" t="s">
        <v>797</v>
      </c>
      <c r="G11" s="23" t="s">
        <v>1064</v>
      </c>
      <c r="H11" s="29" t="s">
        <v>1046</v>
      </c>
      <c r="I11" s="147" t="s">
        <v>1047</v>
      </c>
      <c r="J11" s="147" t="s">
        <v>1047</v>
      </c>
      <c r="K11" s="147" t="s">
        <v>1081</v>
      </c>
      <c r="L11" s="147" t="s">
        <v>1082</v>
      </c>
    </row>
    <row r="12">
      <c r="B12" s="147" t="s">
        <v>1083</v>
      </c>
      <c r="C12" s="147" t="s">
        <v>1084</v>
      </c>
      <c r="D12" s="178" t="s">
        <v>1085</v>
      </c>
      <c r="E12" s="147" t="s">
        <v>186</v>
      </c>
      <c r="F12" s="147" t="s">
        <v>213</v>
      </c>
      <c r="G12" s="23" t="s">
        <v>1053</v>
      </c>
      <c r="H12" s="29" t="s">
        <v>1046</v>
      </c>
      <c r="I12" s="61" t="s">
        <v>1047</v>
      </c>
      <c r="J12" s="61" t="s">
        <v>1047</v>
      </c>
      <c r="K12" s="147" t="s">
        <v>1048</v>
      </c>
      <c r="L12" s="147" t="s">
        <v>1086</v>
      </c>
    </row>
    <row r="13">
      <c r="C13" s="147" t="s">
        <v>1087</v>
      </c>
      <c r="D13" s="147" t="s">
        <v>1088</v>
      </c>
      <c r="E13" s="147" t="s">
        <v>209</v>
      </c>
      <c r="F13" s="147" t="s">
        <v>1089</v>
      </c>
      <c r="G13" s="23" t="s">
        <v>1053</v>
      </c>
      <c r="H13" s="29" t="s">
        <v>1046</v>
      </c>
      <c r="I13" s="147" t="s">
        <v>1058</v>
      </c>
      <c r="J13" s="61" t="s">
        <v>25</v>
      </c>
      <c r="K13" s="147" t="s">
        <v>1078</v>
      </c>
      <c r="L13" s="147" t="s">
        <v>1090</v>
      </c>
    </row>
    <row r="14">
      <c r="C14" s="147" t="s">
        <v>1091</v>
      </c>
      <c r="D14" s="178" t="s">
        <v>1092</v>
      </c>
      <c r="E14" s="179" t="s">
        <v>186</v>
      </c>
      <c r="F14" s="179" t="s">
        <v>1093</v>
      </c>
      <c r="G14" s="23" t="s">
        <v>1053</v>
      </c>
      <c r="H14" s="29" t="s">
        <v>1046</v>
      </c>
      <c r="I14" s="61" t="s">
        <v>1054</v>
      </c>
      <c r="J14" s="147" t="s">
        <v>1047</v>
      </c>
      <c r="K14" s="147" t="s">
        <v>1048</v>
      </c>
      <c r="L14" s="147" t="s">
        <v>1094</v>
      </c>
    </row>
    <row r="15">
      <c r="C15" s="61" t="s">
        <v>1095</v>
      </c>
      <c r="D15" s="147" t="s">
        <v>41</v>
      </c>
      <c r="E15" s="147" t="s">
        <v>209</v>
      </c>
      <c r="F15" s="180" t="s">
        <v>1096</v>
      </c>
      <c r="G15" s="23" t="s">
        <v>1097</v>
      </c>
      <c r="H15" s="29" t="s">
        <v>1046</v>
      </c>
      <c r="I15" s="61" t="s">
        <v>25</v>
      </c>
      <c r="J15" s="147" t="s">
        <v>1058</v>
      </c>
      <c r="K15" s="147" t="s">
        <v>1098</v>
      </c>
      <c r="L15" s="147" t="s">
        <v>1099</v>
      </c>
    </row>
    <row r="16">
      <c r="C16" s="61" t="s">
        <v>1100</v>
      </c>
      <c r="D16" s="147" t="s">
        <v>41</v>
      </c>
      <c r="E16" s="147" t="s">
        <v>209</v>
      </c>
      <c r="F16" s="61" t="s">
        <v>1101</v>
      </c>
      <c r="G16" s="23" t="s">
        <v>1064</v>
      </c>
      <c r="H16" s="29" t="s">
        <v>1046</v>
      </c>
      <c r="I16" s="61" t="s">
        <v>25</v>
      </c>
      <c r="J16" s="61" t="s">
        <v>1047</v>
      </c>
      <c r="K16" s="147" t="s">
        <v>1102</v>
      </c>
      <c r="L16" s="147" t="s">
        <v>1103</v>
      </c>
    </row>
    <row r="17">
      <c r="C17" s="147" t="s">
        <v>1104</v>
      </c>
      <c r="D17" s="147" t="s">
        <v>1105</v>
      </c>
      <c r="E17" s="147" t="s">
        <v>186</v>
      </c>
      <c r="F17" s="147" t="s">
        <v>213</v>
      </c>
      <c r="G17" s="23" t="s">
        <v>1045</v>
      </c>
      <c r="H17" s="29" t="s">
        <v>1046</v>
      </c>
      <c r="I17" s="61" t="s">
        <v>25</v>
      </c>
      <c r="J17" s="61" t="s">
        <v>25</v>
      </c>
      <c r="K17" s="147" t="s">
        <v>1106</v>
      </c>
      <c r="L17" s="147" t="s">
        <v>1107</v>
      </c>
    </row>
    <row r="18">
      <c r="C18" s="147" t="s">
        <v>1108</v>
      </c>
      <c r="D18" s="147" t="s">
        <v>41</v>
      </c>
      <c r="E18" s="147" t="s">
        <v>403</v>
      </c>
      <c r="F18" s="147" t="s">
        <v>1089</v>
      </c>
      <c r="G18" s="23" t="s">
        <v>1064</v>
      </c>
      <c r="H18" s="29" t="s">
        <v>1046</v>
      </c>
      <c r="I18" s="147" t="s">
        <v>23</v>
      </c>
      <c r="J18" s="61" t="s">
        <v>25</v>
      </c>
      <c r="K18" s="147" t="s">
        <v>1109</v>
      </c>
      <c r="L18" s="147" t="s">
        <v>1110</v>
      </c>
    </row>
    <row r="19">
      <c r="C19" s="147" t="s">
        <v>1111</v>
      </c>
      <c r="D19" s="147" t="s">
        <v>1112</v>
      </c>
      <c r="E19" s="147" t="s">
        <v>186</v>
      </c>
      <c r="F19" s="147" t="s">
        <v>1089</v>
      </c>
      <c r="G19" s="23" t="s">
        <v>1064</v>
      </c>
      <c r="H19" s="29" t="s">
        <v>1046</v>
      </c>
      <c r="I19" s="147" t="s">
        <v>23</v>
      </c>
      <c r="J19" s="61" t="s">
        <v>25</v>
      </c>
      <c r="K19" s="147" t="s">
        <v>1109</v>
      </c>
      <c r="L19" s="147" t="s">
        <v>1113</v>
      </c>
    </row>
    <row r="20">
      <c r="C20" s="147" t="s">
        <v>1114</v>
      </c>
      <c r="D20" s="147" t="s">
        <v>1115</v>
      </c>
      <c r="E20" s="179" t="s">
        <v>186</v>
      </c>
      <c r="F20" s="179" t="s">
        <v>1116</v>
      </c>
      <c r="G20" s="23" t="s">
        <v>1045</v>
      </c>
      <c r="H20" s="29" t="s">
        <v>1046</v>
      </c>
      <c r="I20" s="147" t="s">
        <v>23</v>
      </c>
      <c r="J20" s="61" t="s">
        <v>23</v>
      </c>
      <c r="K20" s="147" t="s">
        <v>1117</v>
      </c>
      <c r="L20" s="147" t="s">
        <v>1118</v>
      </c>
    </row>
    <row r="21">
      <c r="C21" s="147" t="s">
        <v>1119</v>
      </c>
      <c r="D21" s="147" t="s">
        <v>1120</v>
      </c>
      <c r="E21" s="179" t="s">
        <v>209</v>
      </c>
      <c r="F21" s="179" t="s">
        <v>1121</v>
      </c>
      <c r="G21" s="23" t="s">
        <v>1045</v>
      </c>
      <c r="H21" s="29" t="s">
        <v>1046</v>
      </c>
      <c r="I21" s="61" t="s">
        <v>23</v>
      </c>
      <c r="J21" s="147" t="s">
        <v>1047</v>
      </c>
      <c r="K21" s="147" t="s">
        <v>1122</v>
      </c>
      <c r="L21" s="147" t="s">
        <v>1123</v>
      </c>
    </row>
    <row r="22">
      <c r="C22" s="181" t="s">
        <v>1124</v>
      </c>
      <c r="D22" s="181" t="s">
        <v>41</v>
      </c>
      <c r="E22" s="147" t="s">
        <v>403</v>
      </c>
      <c r="F22" s="147" t="s">
        <v>205</v>
      </c>
      <c r="G22" s="23" t="s">
        <v>1064</v>
      </c>
      <c r="H22" s="29" t="s">
        <v>1046</v>
      </c>
      <c r="I22" s="61" t="s">
        <v>1054</v>
      </c>
      <c r="J22" s="147" t="s">
        <v>1047</v>
      </c>
      <c r="K22" s="147" t="s">
        <v>1122</v>
      </c>
      <c r="L22" s="147" t="s">
        <v>1125</v>
      </c>
    </row>
    <row r="23">
      <c r="C23" s="147" t="s">
        <v>1126</v>
      </c>
      <c r="D23" s="147" t="s">
        <v>1127</v>
      </c>
      <c r="E23" s="147" t="s">
        <v>186</v>
      </c>
      <c r="F23" s="147" t="s">
        <v>213</v>
      </c>
      <c r="G23" s="23" t="s">
        <v>1064</v>
      </c>
      <c r="H23" s="29" t="s">
        <v>1046</v>
      </c>
      <c r="I23" s="61" t="s">
        <v>21</v>
      </c>
      <c r="J23" s="147" t="s">
        <v>21</v>
      </c>
      <c r="K23" s="147" t="s">
        <v>1128</v>
      </c>
      <c r="L23" s="147" t="s">
        <v>1129</v>
      </c>
    </row>
    <row r="24">
      <c r="C24" s="147" t="s">
        <v>1130</v>
      </c>
      <c r="D24" s="147" t="s">
        <v>1131</v>
      </c>
      <c r="E24" s="147" t="s">
        <v>186</v>
      </c>
      <c r="F24" s="147" t="s">
        <v>754</v>
      </c>
      <c r="G24" s="23" t="s">
        <v>1064</v>
      </c>
      <c r="H24" s="29" t="s">
        <v>1046</v>
      </c>
      <c r="I24" s="147" t="s">
        <v>21</v>
      </c>
      <c r="J24" s="147" t="s">
        <v>21</v>
      </c>
      <c r="K24" s="147" t="s">
        <v>1128</v>
      </c>
      <c r="L24" s="147" t="s">
        <v>1132</v>
      </c>
    </row>
    <row r="25">
      <c r="C25" s="147" t="s">
        <v>1133</v>
      </c>
      <c r="D25" s="147" t="s">
        <v>41</v>
      </c>
      <c r="E25" s="147" t="s">
        <v>186</v>
      </c>
      <c r="F25" s="61" t="s">
        <v>1134</v>
      </c>
      <c r="G25" s="23" t="s">
        <v>1045</v>
      </c>
      <c r="H25" s="29" t="s">
        <v>1046</v>
      </c>
      <c r="I25" s="61" t="s">
        <v>25</v>
      </c>
      <c r="J25" s="61" t="s">
        <v>25</v>
      </c>
      <c r="K25" s="147" t="s">
        <v>1135</v>
      </c>
      <c r="L25" s="147" t="s">
        <v>1136</v>
      </c>
    </row>
    <row r="26">
      <c r="A26" s="171" t="s">
        <v>1137</v>
      </c>
      <c r="B26" s="173"/>
      <c r="D26" s="182" t="s">
        <v>1138</v>
      </c>
      <c r="E26" s="173" t="s">
        <v>41</v>
      </c>
      <c r="F26" s="173" t="s">
        <v>41</v>
      </c>
      <c r="G26" s="174" t="s">
        <v>41</v>
      </c>
      <c r="H26" s="175" t="s">
        <v>41</v>
      </c>
      <c r="I26" s="173" t="s">
        <v>41</v>
      </c>
      <c r="J26" s="173" t="s">
        <v>41</v>
      </c>
      <c r="K26" s="173" t="s">
        <v>41</v>
      </c>
      <c r="L26" s="173" t="s">
        <v>41</v>
      </c>
    </row>
    <row r="27">
      <c r="B27" s="56" t="s">
        <v>1042</v>
      </c>
      <c r="C27" s="147" t="s">
        <v>1139</v>
      </c>
      <c r="D27" s="147" t="s">
        <v>41</v>
      </c>
      <c r="E27" s="147" t="s">
        <v>186</v>
      </c>
      <c r="F27" s="147" t="s">
        <v>797</v>
      </c>
      <c r="G27" s="23" t="s">
        <v>1064</v>
      </c>
      <c r="H27" s="29" t="s">
        <v>1046</v>
      </c>
      <c r="I27" s="61" t="s">
        <v>23</v>
      </c>
      <c r="J27" s="61" t="s">
        <v>23</v>
      </c>
      <c r="K27" s="147" t="s">
        <v>1140</v>
      </c>
      <c r="L27" s="147" t="s">
        <v>1141</v>
      </c>
    </row>
    <row r="28">
      <c r="B28" s="147" t="s">
        <v>1083</v>
      </c>
      <c r="C28" s="147" t="s">
        <v>1142</v>
      </c>
      <c r="D28" s="147" t="s">
        <v>1143</v>
      </c>
      <c r="E28" s="147" t="s">
        <v>403</v>
      </c>
      <c r="F28" s="147" t="s">
        <v>1144</v>
      </c>
      <c r="G28" s="23" t="s">
        <v>1064</v>
      </c>
      <c r="H28" s="29" t="s">
        <v>1046</v>
      </c>
      <c r="I28" s="61" t="s">
        <v>23</v>
      </c>
      <c r="J28" s="61" t="s">
        <v>23</v>
      </c>
      <c r="K28" s="147" t="s">
        <v>1145</v>
      </c>
      <c r="L28" s="147" t="s">
        <v>1146</v>
      </c>
    </row>
    <row r="29">
      <c r="C29" s="61" t="s">
        <v>1147</v>
      </c>
      <c r="D29" s="147" t="s">
        <v>41</v>
      </c>
      <c r="E29" s="147" t="s">
        <v>403</v>
      </c>
      <c r="F29" s="61" t="s">
        <v>1148</v>
      </c>
      <c r="G29" s="23" t="s">
        <v>1097</v>
      </c>
      <c r="H29" s="29" t="s">
        <v>1046</v>
      </c>
      <c r="I29" s="61" t="s">
        <v>23</v>
      </c>
      <c r="J29" s="147" t="s">
        <v>23</v>
      </c>
      <c r="K29" s="147" t="s">
        <v>1145</v>
      </c>
      <c r="L29" s="147" t="s">
        <v>1146</v>
      </c>
    </row>
    <row r="30">
      <c r="C30" s="147" t="s">
        <v>1149</v>
      </c>
      <c r="D30" s="147" t="s">
        <v>1150</v>
      </c>
      <c r="E30" s="147" t="s">
        <v>209</v>
      </c>
      <c r="F30" s="147" t="s">
        <v>754</v>
      </c>
      <c r="G30" s="23" t="s">
        <v>1064</v>
      </c>
      <c r="H30" s="29" t="s">
        <v>1046</v>
      </c>
      <c r="I30" s="147" t="s">
        <v>23</v>
      </c>
      <c r="J30" s="147" t="s">
        <v>23</v>
      </c>
      <c r="K30" s="147" t="s">
        <v>1145</v>
      </c>
      <c r="L30" s="147" t="s">
        <v>1151</v>
      </c>
    </row>
    <row r="31">
      <c r="C31" s="147" t="s">
        <v>1152</v>
      </c>
      <c r="D31" s="147" t="s">
        <v>1153</v>
      </c>
      <c r="E31" s="147" t="s">
        <v>209</v>
      </c>
      <c r="F31" s="61" t="s">
        <v>1154</v>
      </c>
      <c r="G31" s="23" t="s">
        <v>1064</v>
      </c>
      <c r="H31" s="29" t="s">
        <v>1046</v>
      </c>
      <c r="I31" s="61" t="s">
        <v>23</v>
      </c>
      <c r="J31" s="61" t="s">
        <v>23</v>
      </c>
      <c r="K31" s="147" t="s">
        <v>1117</v>
      </c>
      <c r="L31" s="147" t="s">
        <v>1155</v>
      </c>
    </row>
    <row r="32">
      <c r="C32" s="147" t="s">
        <v>1156</v>
      </c>
      <c r="D32" s="147" t="s">
        <v>41</v>
      </c>
      <c r="E32" s="147" t="s">
        <v>403</v>
      </c>
      <c r="F32" s="61" t="s">
        <v>1157</v>
      </c>
      <c r="G32" s="23" t="s">
        <v>1064</v>
      </c>
      <c r="H32" s="29" t="s">
        <v>1046</v>
      </c>
      <c r="I32" s="61" t="s">
        <v>23</v>
      </c>
      <c r="J32" s="61" t="s">
        <v>23</v>
      </c>
      <c r="K32" s="147" t="s">
        <v>1117</v>
      </c>
      <c r="L32" s="147" t="s">
        <v>1158</v>
      </c>
    </row>
    <row r="33">
      <c r="C33" s="61" t="s">
        <v>1159</v>
      </c>
      <c r="D33" s="147" t="s">
        <v>41</v>
      </c>
      <c r="E33" s="147" t="s">
        <v>403</v>
      </c>
      <c r="F33" s="61" t="s">
        <v>1157</v>
      </c>
      <c r="G33" s="23" t="s">
        <v>1064</v>
      </c>
      <c r="H33" s="29" t="s">
        <v>1046</v>
      </c>
      <c r="I33" s="61" t="s">
        <v>23</v>
      </c>
      <c r="J33" s="61" t="s">
        <v>23</v>
      </c>
      <c r="K33" s="147" t="s">
        <v>1117</v>
      </c>
      <c r="L33" s="147" t="s">
        <v>1158</v>
      </c>
    </row>
    <row r="34">
      <c r="C34" s="147" t="s">
        <v>1160</v>
      </c>
      <c r="D34" s="147" t="s">
        <v>1161</v>
      </c>
      <c r="E34" s="147" t="s">
        <v>186</v>
      </c>
      <c r="F34" s="61" t="s">
        <v>1148</v>
      </c>
      <c r="G34" s="23" t="s">
        <v>1064</v>
      </c>
      <c r="H34" s="29" t="s">
        <v>1046</v>
      </c>
      <c r="I34" s="61" t="s">
        <v>23</v>
      </c>
      <c r="J34" s="61" t="s">
        <v>23</v>
      </c>
      <c r="K34" s="147" t="s">
        <v>1117</v>
      </c>
      <c r="L34" s="147" t="s">
        <v>1162</v>
      </c>
    </row>
    <row r="35">
      <c r="C35" s="147" t="s">
        <v>1163</v>
      </c>
      <c r="D35" s="147" t="s">
        <v>1164</v>
      </c>
      <c r="E35" s="147" t="s">
        <v>186</v>
      </c>
      <c r="F35" s="183" t="s">
        <v>1165</v>
      </c>
      <c r="G35" s="23" t="s">
        <v>1064</v>
      </c>
      <c r="H35" s="29" t="s">
        <v>1046</v>
      </c>
      <c r="I35" s="61" t="s">
        <v>23</v>
      </c>
      <c r="J35" s="61" t="s">
        <v>23</v>
      </c>
      <c r="K35" s="147" t="s">
        <v>1117</v>
      </c>
      <c r="L35" s="147" t="s">
        <v>1166</v>
      </c>
    </row>
    <row r="36">
      <c r="C36" s="147" t="s">
        <v>1167</v>
      </c>
      <c r="D36" s="147" t="s">
        <v>1168</v>
      </c>
      <c r="E36" s="147" t="s">
        <v>209</v>
      </c>
      <c r="F36" s="183" t="s">
        <v>1169</v>
      </c>
      <c r="G36" s="23" t="s">
        <v>1064</v>
      </c>
      <c r="H36" s="29" t="s">
        <v>1046</v>
      </c>
      <c r="I36" s="61" t="s">
        <v>23</v>
      </c>
      <c r="J36" s="61" t="s">
        <v>23</v>
      </c>
      <c r="K36" s="147" t="s">
        <v>1117</v>
      </c>
      <c r="L36" s="147" t="s">
        <v>1166</v>
      </c>
    </row>
    <row r="37">
      <c r="C37" s="147" t="s">
        <v>1170</v>
      </c>
      <c r="D37" s="147" t="s">
        <v>1171</v>
      </c>
      <c r="E37" s="147" t="s">
        <v>186</v>
      </c>
      <c r="F37" s="61" t="s">
        <v>1134</v>
      </c>
      <c r="G37" s="23" t="s">
        <v>1053</v>
      </c>
      <c r="H37" s="29" t="s">
        <v>1046</v>
      </c>
      <c r="I37" s="61" t="s">
        <v>23</v>
      </c>
      <c r="J37" s="61" t="s">
        <v>23</v>
      </c>
      <c r="K37" s="147" t="s">
        <v>1117</v>
      </c>
      <c r="L37" s="147" t="s">
        <v>1172</v>
      </c>
    </row>
    <row r="38">
      <c r="C38" s="184" t="s">
        <v>1173</v>
      </c>
      <c r="D38" s="184" t="s">
        <v>1174</v>
      </c>
      <c r="E38" s="185" t="s">
        <v>186</v>
      </c>
      <c r="F38" s="186" t="s">
        <v>1134</v>
      </c>
      <c r="G38" s="187" t="s">
        <v>1045</v>
      </c>
      <c r="H38" s="188" t="s">
        <v>1046</v>
      </c>
      <c r="I38" s="189" t="s">
        <v>23</v>
      </c>
      <c r="J38" s="189" t="s">
        <v>23</v>
      </c>
      <c r="K38" s="187" t="s">
        <v>1117</v>
      </c>
      <c r="L38" s="187" t="s">
        <v>1175</v>
      </c>
    </row>
    <row r="39">
      <c r="C39" s="147" t="s">
        <v>1176</v>
      </c>
      <c r="D39" s="178" t="s">
        <v>1177</v>
      </c>
      <c r="E39" s="147" t="s">
        <v>186</v>
      </c>
      <c r="F39" s="61" t="s">
        <v>1101</v>
      </c>
      <c r="G39" s="23" t="s">
        <v>1045</v>
      </c>
      <c r="H39" s="29" t="s">
        <v>1046</v>
      </c>
      <c r="I39" s="61" t="s">
        <v>23</v>
      </c>
      <c r="J39" s="61" t="s">
        <v>23</v>
      </c>
      <c r="K39" s="147" t="s">
        <v>1178</v>
      </c>
      <c r="L39" s="147" t="s">
        <v>1179</v>
      </c>
    </row>
    <row r="40">
      <c r="C40" s="147" t="s">
        <v>1180</v>
      </c>
      <c r="D40" s="147" t="s">
        <v>1181</v>
      </c>
      <c r="E40" s="147" t="s">
        <v>209</v>
      </c>
      <c r="F40" s="61" t="s">
        <v>1134</v>
      </c>
      <c r="G40" s="23" t="s">
        <v>1064</v>
      </c>
      <c r="H40" s="29" t="s">
        <v>1046</v>
      </c>
      <c r="I40" s="61" t="s">
        <v>23</v>
      </c>
      <c r="J40" s="61" t="s">
        <v>23</v>
      </c>
      <c r="K40" s="147" t="s">
        <v>1178</v>
      </c>
      <c r="L40" s="147" t="s">
        <v>1182</v>
      </c>
    </row>
    <row r="41">
      <c r="C41" s="147" t="s">
        <v>1183</v>
      </c>
      <c r="D41" s="147" t="s">
        <v>1184</v>
      </c>
      <c r="E41" s="147" t="s">
        <v>209</v>
      </c>
      <c r="F41" s="61" t="s">
        <v>1134</v>
      </c>
      <c r="G41" s="23" t="s">
        <v>1045</v>
      </c>
      <c r="H41" s="29" t="s">
        <v>1046</v>
      </c>
      <c r="I41" s="61" t="s">
        <v>23</v>
      </c>
      <c r="J41" s="61" t="s">
        <v>23</v>
      </c>
      <c r="K41" s="147" t="s">
        <v>1185</v>
      </c>
      <c r="L41" s="147" t="s">
        <v>1186</v>
      </c>
    </row>
    <row r="42">
      <c r="C42" s="147" t="s">
        <v>1187</v>
      </c>
      <c r="D42" s="147" t="s">
        <v>41</v>
      </c>
      <c r="E42" s="147" t="s">
        <v>186</v>
      </c>
      <c r="F42" s="147" t="s">
        <v>1144</v>
      </c>
      <c r="G42" s="23" t="s">
        <v>1064</v>
      </c>
      <c r="H42" s="29" t="s">
        <v>1046</v>
      </c>
      <c r="I42" s="61" t="s">
        <v>23</v>
      </c>
      <c r="J42" s="61" t="s">
        <v>25</v>
      </c>
      <c r="K42" s="147" t="s">
        <v>1188</v>
      </c>
      <c r="L42" s="147" t="s">
        <v>1189</v>
      </c>
    </row>
    <row r="43">
      <c r="C43" s="147" t="s">
        <v>1190</v>
      </c>
      <c r="D43" s="147" t="s">
        <v>1191</v>
      </c>
      <c r="E43" s="147" t="s">
        <v>186</v>
      </c>
      <c r="F43" s="61" t="s">
        <v>1134</v>
      </c>
      <c r="G43" s="23" t="s">
        <v>1045</v>
      </c>
      <c r="H43" s="29" t="s">
        <v>1046</v>
      </c>
      <c r="I43" s="61" t="s">
        <v>25</v>
      </c>
      <c r="J43" s="61" t="s">
        <v>25</v>
      </c>
      <c r="K43" s="147" t="s">
        <v>1192</v>
      </c>
      <c r="L43" s="147" t="s">
        <v>1193</v>
      </c>
    </row>
    <row r="44">
      <c r="C44" s="61" t="s">
        <v>1194</v>
      </c>
      <c r="D44" s="147" t="s">
        <v>41</v>
      </c>
      <c r="E44" s="147" t="s">
        <v>186</v>
      </c>
      <c r="F44" s="183" t="s">
        <v>1195</v>
      </c>
      <c r="G44" s="23" t="s">
        <v>1064</v>
      </c>
      <c r="H44" s="29" t="s">
        <v>1046</v>
      </c>
      <c r="I44" s="61" t="s">
        <v>23</v>
      </c>
      <c r="J44" s="61" t="s">
        <v>23</v>
      </c>
      <c r="K44" s="147" t="s">
        <v>1196</v>
      </c>
      <c r="L44" s="147" t="s">
        <v>1197</v>
      </c>
    </row>
    <row r="45">
      <c r="C45" s="147" t="s">
        <v>1198</v>
      </c>
      <c r="D45" s="147" t="s">
        <v>41</v>
      </c>
      <c r="E45" s="147" t="s">
        <v>403</v>
      </c>
      <c r="F45" s="147" t="s">
        <v>1144</v>
      </c>
      <c r="G45" s="23" t="s">
        <v>1064</v>
      </c>
      <c r="H45" s="29" t="s">
        <v>1046</v>
      </c>
      <c r="I45" s="61" t="s">
        <v>23</v>
      </c>
      <c r="J45" s="61" t="s">
        <v>25</v>
      </c>
      <c r="K45" s="147" t="s">
        <v>1188</v>
      </c>
      <c r="L45" s="147" t="s">
        <v>1199</v>
      </c>
    </row>
    <row r="46">
      <c r="C46" s="147" t="s">
        <v>1200</v>
      </c>
      <c r="D46" s="147" t="s">
        <v>41</v>
      </c>
      <c r="E46" s="147" t="s">
        <v>403</v>
      </c>
      <c r="F46" s="61" t="s">
        <v>1201</v>
      </c>
      <c r="G46" s="23" t="s">
        <v>1064</v>
      </c>
      <c r="H46" s="29" t="s">
        <v>1046</v>
      </c>
      <c r="I46" s="147" t="s">
        <v>23</v>
      </c>
      <c r="J46" s="61" t="s">
        <v>23</v>
      </c>
      <c r="K46" s="147" t="s">
        <v>1202</v>
      </c>
      <c r="L46" s="147" t="s">
        <v>1203</v>
      </c>
    </row>
    <row r="47">
      <c r="C47" s="147" t="s">
        <v>1204</v>
      </c>
      <c r="D47" s="147" t="s">
        <v>41</v>
      </c>
      <c r="E47" s="147" t="s">
        <v>403</v>
      </c>
      <c r="F47" s="61" t="s">
        <v>1101</v>
      </c>
      <c r="G47" s="23" t="s">
        <v>1064</v>
      </c>
      <c r="H47" s="29" t="s">
        <v>1046</v>
      </c>
      <c r="I47" s="61" t="s">
        <v>23</v>
      </c>
      <c r="J47" s="61" t="s">
        <v>25</v>
      </c>
      <c r="K47" s="147" t="s">
        <v>1205</v>
      </c>
      <c r="L47" s="147" t="s">
        <v>1206</v>
      </c>
    </row>
    <row r="48">
      <c r="C48" s="61" t="s">
        <v>1207</v>
      </c>
      <c r="D48" s="147" t="s">
        <v>41</v>
      </c>
      <c r="E48" s="147" t="s">
        <v>186</v>
      </c>
      <c r="F48" s="61" t="s">
        <v>1157</v>
      </c>
      <c r="G48" s="23" t="s">
        <v>1064</v>
      </c>
      <c r="H48" s="29" t="s">
        <v>1046</v>
      </c>
      <c r="I48" s="61" t="s">
        <v>23</v>
      </c>
      <c r="J48" s="61" t="s">
        <v>23</v>
      </c>
      <c r="K48" s="147" t="s">
        <v>1208</v>
      </c>
      <c r="L48" s="147" t="s">
        <v>1209</v>
      </c>
    </row>
    <row r="49">
      <c r="C49" s="147" t="s">
        <v>1210</v>
      </c>
      <c r="D49" s="147" t="s">
        <v>1211</v>
      </c>
      <c r="E49" s="147" t="s">
        <v>186</v>
      </c>
      <c r="F49" s="61" t="s">
        <v>1157</v>
      </c>
      <c r="G49" s="23" t="s">
        <v>1064</v>
      </c>
      <c r="H49" s="29" t="s">
        <v>1046</v>
      </c>
      <c r="I49" s="147" t="s">
        <v>23</v>
      </c>
      <c r="J49" s="61" t="s">
        <v>23</v>
      </c>
      <c r="K49" s="147" t="s">
        <v>1208</v>
      </c>
      <c r="L49" s="147" t="s">
        <v>1209</v>
      </c>
    </row>
    <row r="50">
      <c r="C50" s="147" t="s">
        <v>1212</v>
      </c>
      <c r="D50" s="147" t="s">
        <v>1213</v>
      </c>
      <c r="E50" s="147" t="s">
        <v>209</v>
      </c>
      <c r="F50" s="61" t="s">
        <v>1134</v>
      </c>
      <c r="G50" s="23" t="s">
        <v>1064</v>
      </c>
      <c r="H50" s="29" t="s">
        <v>1046</v>
      </c>
      <c r="I50" s="61" t="s">
        <v>23</v>
      </c>
      <c r="J50" s="61" t="s">
        <v>23</v>
      </c>
      <c r="K50" s="147" t="s">
        <v>1214</v>
      </c>
      <c r="L50" s="147" t="s">
        <v>1215</v>
      </c>
    </row>
    <row r="51">
      <c r="C51" s="61" t="s">
        <v>1216</v>
      </c>
      <c r="D51" s="147" t="s">
        <v>41</v>
      </c>
      <c r="E51" s="147" t="s">
        <v>209</v>
      </c>
      <c r="F51" s="61" t="s">
        <v>1134</v>
      </c>
      <c r="G51" s="23" t="s">
        <v>1064</v>
      </c>
      <c r="H51" s="29" t="s">
        <v>1217</v>
      </c>
      <c r="I51" s="61" t="s">
        <v>23</v>
      </c>
      <c r="J51" s="61" t="s">
        <v>23</v>
      </c>
      <c r="K51" s="147" t="s">
        <v>1214</v>
      </c>
      <c r="L51" s="147" t="s">
        <v>1218</v>
      </c>
    </row>
    <row r="52">
      <c r="C52" s="147" t="s">
        <v>1219</v>
      </c>
      <c r="D52" s="147" t="s">
        <v>1220</v>
      </c>
      <c r="E52" s="147" t="s">
        <v>186</v>
      </c>
      <c r="F52" s="147" t="s">
        <v>1221</v>
      </c>
      <c r="G52" s="23" t="s">
        <v>1064</v>
      </c>
      <c r="H52" s="29" t="s">
        <v>1046</v>
      </c>
      <c r="I52" s="61" t="s">
        <v>23</v>
      </c>
      <c r="J52" s="61" t="s">
        <v>25</v>
      </c>
      <c r="K52" s="147" t="s">
        <v>1078</v>
      </c>
      <c r="L52" s="147" t="s">
        <v>1222</v>
      </c>
    </row>
    <row r="53">
      <c r="A53" s="171" t="s">
        <v>1223</v>
      </c>
      <c r="B53" s="173"/>
      <c r="D53" s="190" t="s">
        <v>41</v>
      </c>
      <c r="E53" s="173" t="s">
        <v>41</v>
      </c>
      <c r="F53" s="173" t="s">
        <v>41</v>
      </c>
      <c r="G53" s="174" t="s">
        <v>41</v>
      </c>
      <c r="H53" s="175" t="s">
        <v>41</v>
      </c>
      <c r="I53" s="173" t="s">
        <v>41</v>
      </c>
      <c r="J53" s="173" t="s">
        <v>41</v>
      </c>
      <c r="K53" s="173" t="s">
        <v>41</v>
      </c>
      <c r="L53" s="173" t="s">
        <v>41</v>
      </c>
    </row>
    <row r="54">
      <c r="B54" s="147" t="s">
        <v>1083</v>
      </c>
      <c r="C54" s="147" t="s">
        <v>1224</v>
      </c>
      <c r="D54" s="147" t="s">
        <v>1225</v>
      </c>
      <c r="E54" s="191" t="s">
        <v>209</v>
      </c>
      <c r="F54" s="179" t="s">
        <v>1226</v>
      </c>
      <c r="G54" s="23" t="s">
        <v>1064</v>
      </c>
      <c r="H54" s="29" t="s">
        <v>1217</v>
      </c>
      <c r="I54" s="147" t="s">
        <v>23</v>
      </c>
      <c r="J54" s="61" t="s">
        <v>1047</v>
      </c>
      <c r="K54" s="147" t="s">
        <v>1227</v>
      </c>
      <c r="L54" s="61" t="s">
        <v>1228</v>
      </c>
    </row>
    <row r="55">
      <c r="C55" s="147" t="s">
        <v>1229</v>
      </c>
      <c r="D55" s="147" t="s">
        <v>1230</v>
      </c>
      <c r="E55" s="147" t="s">
        <v>186</v>
      </c>
      <c r="F55" s="61" t="s">
        <v>1134</v>
      </c>
      <c r="G55" s="23" t="s">
        <v>1045</v>
      </c>
      <c r="H55" s="29" t="s">
        <v>1217</v>
      </c>
      <c r="I55" s="147" t="s">
        <v>1231</v>
      </c>
      <c r="J55" s="61" t="s">
        <v>25</v>
      </c>
      <c r="K55" s="147" t="s">
        <v>1232</v>
      </c>
      <c r="L55" s="147" t="s">
        <v>1233</v>
      </c>
    </row>
    <row r="56">
      <c r="C56" s="147" t="s">
        <v>1234</v>
      </c>
      <c r="D56" s="147" t="s">
        <v>1235</v>
      </c>
      <c r="E56" s="147" t="s">
        <v>186</v>
      </c>
      <c r="F56" s="61" t="s">
        <v>1134</v>
      </c>
      <c r="G56" s="23" t="s">
        <v>1045</v>
      </c>
      <c r="H56" s="29" t="s">
        <v>1046</v>
      </c>
      <c r="I56" s="147" t="s">
        <v>1236</v>
      </c>
      <c r="J56" s="147" t="s">
        <v>25</v>
      </c>
      <c r="K56" s="147" t="s">
        <v>1232</v>
      </c>
      <c r="L56" s="147" t="s">
        <v>1237</v>
      </c>
    </row>
    <row r="57">
      <c r="C57" s="147" t="s">
        <v>1238</v>
      </c>
      <c r="D57" s="147" t="s">
        <v>1239</v>
      </c>
      <c r="E57" s="147" t="s">
        <v>186</v>
      </c>
      <c r="F57" s="61" t="s">
        <v>1134</v>
      </c>
      <c r="G57" s="23" t="s">
        <v>1045</v>
      </c>
      <c r="H57" s="29" t="s">
        <v>1046</v>
      </c>
      <c r="I57" s="147" t="s">
        <v>1236</v>
      </c>
      <c r="J57" s="147" t="s">
        <v>25</v>
      </c>
      <c r="K57" s="147" t="s">
        <v>1232</v>
      </c>
      <c r="L57" s="147" t="s">
        <v>1240</v>
      </c>
    </row>
    <row r="58">
      <c r="C58" s="147" t="s">
        <v>1241</v>
      </c>
      <c r="D58" s="147" t="s">
        <v>41</v>
      </c>
      <c r="E58" s="147" t="s">
        <v>209</v>
      </c>
      <c r="F58" s="61" t="s">
        <v>1134</v>
      </c>
      <c r="G58" s="23" t="s">
        <v>1045</v>
      </c>
      <c r="H58" s="29" t="s">
        <v>1046</v>
      </c>
      <c r="I58" s="61" t="s">
        <v>25</v>
      </c>
      <c r="J58" s="61" t="s">
        <v>25</v>
      </c>
      <c r="K58" s="147" t="s">
        <v>1106</v>
      </c>
      <c r="L58" s="147" t="s">
        <v>1242</v>
      </c>
    </row>
    <row r="59">
      <c r="C59" s="147" t="s">
        <v>1243</v>
      </c>
      <c r="D59" s="147" t="s">
        <v>1244</v>
      </c>
      <c r="E59" s="147" t="s">
        <v>209</v>
      </c>
      <c r="F59" s="61" t="s">
        <v>1134</v>
      </c>
      <c r="G59" s="23" t="s">
        <v>1045</v>
      </c>
      <c r="H59" s="29" t="s">
        <v>1046</v>
      </c>
      <c r="I59" s="61" t="s">
        <v>25</v>
      </c>
      <c r="J59" s="61" t="s">
        <v>25</v>
      </c>
      <c r="K59" s="147" t="s">
        <v>1245</v>
      </c>
      <c r="L59" s="147" t="s">
        <v>1246</v>
      </c>
    </row>
    <row r="60">
      <c r="C60" s="61" t="s">
        <v>1247</v>
      </c>
      <c r="D60" s="147" t="s">
        <v>41</v>
      </c>
      <c r="E60" s="147" t="s">
        <v>209</v>
      </c>
      <c r="F60" s="61" t="s">
        <v>1134</v>
      </c>
      <c r="G60" s="23" t="s">
        <v>1064</v>
      </c>
      <c r="H60" s="29" t="s">
        <v>1217</v>
      </c>
      <c r="I60" s="61" t="s">
        <v>23</v>
      </c>
      <c r="J60" s="61" t="s">
        <v>23</v>
      </c>
      <c r="K60" s="147" t="s">
        <v>1248</v>
      </c>
      <c r="L60" s="147" t="s">
        <v>1249</v>
      </c>
    </row>
    <row r="61">
      <c r="C61" s="147" t="s">
        <v>1250</v>
      </c>
      <c r="D61" s="147" t="s">
        <v>1251</v>
      </c>
      <c r="E61" s="147" t="s">
        <v>186</v>
      </c>
      <c r="F61" s="147" t="s">
        <v>1252</v>
      </c>
      <c r="G61" s="23" t="s">
        <v>1045</v>
      </c>
      <c r="H61" s="29" t="s">
        <v>1217</v>
      </c>
      <c r="I61" s="61" t="s">
        <v>25</v>
      </c>
      <c r="J61" s="61" t="s">
        <v>25</v>
      </c>
      <c r="K61" s="147" t="s">
        <v>1253</v>
      </c>
      <c r="L61" s="147" t="s">
        <v>1254</v>
      </c>
    </row>
    <row r="62">
      <c r="C62" s="147" t="s">
        <v>1255</v>
      </c>
      <c r="D62" s="147" t="s">
        <v>1256</v>
      </c>
      <c r="E62" s="147" t="s">
        <v>209</v>
      </c>
      <c r="F62" s="61" t="s">
        <v>1134</v>
      </c>
      <c r="G62" s="23" t="s">
        <v>1064</v>
      </c>
      <c r="H62" s="29" t="s">
        <v>1046</v>
      </c>
      <c r="I62" s="61" t="s">
        <v>25</v>
      </c>
      <c r="J62" s="61" t="s">
        <v>25</v>
      </c>
      <c r="K62" s="147" t="s">
        <v>1257</v>
      </c>
      <c r="L62" s="61" t="s">
        <v>1258</v>
      </c>
    </row>
    <row r="63">
      <c r="C63" s="61" t="s">
        <v>1259</v>
      </c>
      <c r="D63" s="147" t="s">
        <v>41</v>
      </c>
      <c r="E63" s="147" t="s">
        <v>209</v>
      </c>
      <c r="F63" s="61" t="s">
        <v>1134</v>
      </c>
      <c r="G63" s="23" t="s">
        <v>1064</v>
      </c>
      <c r="H63" s="29" t="s">
        <v>1046</v>
      </c>
      <c r="I63" s="61" t="s">
        <v>25</v>
      </c>
      <c r="J63" s="61" t="s">
        <v>25</v>
      </c>
      <c r="K63" s="147" t="s">
        <v>1260</v>
      </c>
      <c r="L63" s="147" t="s">
        <v>1261</v>
      </c>
    </row>
    <row r="64">
      <c r="A64" s="171" t="s">
        <v>1262</v>
      </c>
      <c r="B64" s="173"/>
      <c r="D64" s="173" t="s">
        <v>1263</v>
      </c>
      <c r="E64" s="173" t="s">
        <v>41</v>
      </c>
      <c r="F64" s="173" t="s">
        <v>41</v>
      </c>
      <c r="G64" s="174" t="s">
        <v>41</v>
      </c>
      <c r="H64" s="175" t="s">
        <v>41</v>
      </c>
      <c r="I64" s="173" t="s">
        <v>41</v>
      </c>
      <c r="J64" s="173" t="s">
        <v>41</v>
      </c>
      <c r="K64" s="173" t="s">
        <v>41</v>
      </c>
      <c r="L64" s="173" t="s">
        <v>41</v>
      </c>
    </row>
    <row r="65">
      <c r="B65" s="176" t="s">
        <v>1042</v>
      </c>
      <c r="C65" s="147" t="s">
        <v>1264</v>
      </c>
      <c r="D65" s="147" t="s">
        <v>41</v>
      </c>
      <c r="E65" s="147" t="s">
        <v>186</v>
      </c>
      <c r="F65" s="147" t="s">
        <v>797</v>
      </c>
      <c r="G65" s="23" t="s">
        <v>1045</v>
      </c>
      <c r="H65" s="29" t="s">
        <v>1046</v>
      </c>
      <c r="I65" s="147" t="s">
        <v>30</v>
      </c>
      <c r="J65" s="61" t="s">
        <v>1054</v>
      </c>
      <c r="K65" s="61" t="s">
        <v>1265</v>
      </c>
      <c r="L65" s="147" t="s">
        <v>1266</v>
      </c>
    </row>
    <row r="66">
      <c r="C66" s="147" t="s">
        <v>1267</v>
      </c>
      <c r="D66" s="147" t="s">
        <v>41</v>
      </c>
      <c r="E66" s="147" t="s">
        <v>186</v>
      </c>
      <c r="F66" s="147" t="s">
        <v>797</v>
      </c>
      <c r="G66" s="23" t="s">
        <v>1045</v>
      </c>
      <c r="H66" s="29" t="s">
        <v>1046</v>
      </c>
      <c r="I66" s="147" t="s">
        <v>30</v>
      </c>
      <c r="J66" s="61" t="s">
        <v>1054</v>
      </c>
      <c r="K66" s="147" t="s">
        <v>1268</v>
      </c>
      <c r="L66" s="147" t="s">
        <v>1269</v>
      </c>
    </row>
    <row r="67">
      <c r="C67" s="147" t="s">
        <v>1270</v>
      </c>
      <c r="D67" s="147" t="s">
        <v>41</v>
      </c>
      <c r="E67" s="147" t="s">
        <v>209</v>
      </c>
      <c r="F67" s="147" t="s">
        <v>1271</v>
      </c>
      <c r="G67" s="23" t="s">
        <v>1064</v>
      </c>
      <c r="H67" s="29" t="s">
        <v>1046</v>
      </c>
      <c r="I67" s="147" t="s">
        <v>30</v>
      </c>
      <c r="J67" s="147" t="s">
        <v>30</v>
      </c>
      <c r="K67" s="147" t="s">
        <v>1272</v>
      </c>
      <c r="L67" s="147" t="s">
        <v>1273</v>
      </c>
    </row>
    <row r="68">
      <c r="B68" s="147" t="s">
        <v>1083</v>
      </c>
      <c r="C68" s="147" t="s">
        <v>1274</v>
      </c>
      <c r="D68" s="147" t="s">
        <v>41</v>
      </c>
      <c r="E68" s="147" t="s">
        <v>209</v>
      </c>
      <c r="F68" s="183" t="s">
        <v>1275</v>
      </c>
      <c r="G68" s="23" t="s">
        <v>1045</v>
      </c>
      <c r="H68" s="29" t="s">
        <v>1217</v>
      </c>
      <c r="I68" s="147" t="s">
        <v>30</v>
      </c>
      <c r="J68" s="147" t="s">
        <v>28</v>
      </c>
      <c r="K68" s="147" t="s">
        <v>1276</v>
      </c>
      <c r="L68" s="147" t="s">
        <v>1277</v>
      </c>
    </row>
    <row r="69">
      <c r="C69" s="147" t="s">
        <v>1278</v>
      </c>
      <c r="D69" s="147" t="s">
        <v>41</v>
      </c>
      <c r="E69" s="179" t="s">
        <v>186</v>
      </c>
      <c r="F69" s="179" t="s">
        <v>1279</v>
      </c>
      <c r="G69" s="23" t="s">
        <v>1053</v>
      </c>
      <c r="H69" s="29" t="s">
        <v>1046</v>
      </c>
      <c r="I69" s="147" t="s">
        <v>30</v>
      </c>
      <c r="J69" s="147" t="s">
        <v>1047</v>
      </c>
      <c r="K69" s="147" t="s">
        <v>1048</v>
      </c>
      <c r="L69" s="147" t="s">
        <v>1280</v>
      </c>
    </row>
    <row r="70">
      <c r="C70" s="61" t="s">
        <v>1281</v>
      </c>
      <c r="D70" s="147" t="s">
        <v>41</v>
      </c>
      <c r="E70" s="147" t="s">
        <v>186</v>
      </c>
      <c r="F70" s="61" t="s">
        <v>1148</v>
      </c>
      <c r="G70" s="23" t="s">
        <v>1045</v>
      </c>
      <c r="H70" s="29" t="s">
        <v>1046</v>
      </c>
      <c r="I70" s="147" t="s">
        <v>30</v>
      </c>
      <c r="J70" s="147" t="s">
        <v>23</v>
      </c>
      <c r="K70" s="147" t="s">
        <v>1282</v>
      </c>
      <c r="L70" s="181" t="s">
        <v>1283</v>
      </c>
    </row>
    <row r="71">
      <c r="C71" s="147" t="s">
        <v>1284</v>
      </c>
      <c r="D71" s="147" t="s">
        <v>1285</v>
      </c>
      <c r="E71" s="176" t="s">
        <v>186</v>
      </c>
      <c r="F71" s="179" t="s">
        <v>1286</v>
      </c>
      <c r="G71" s="23" t="s">
        <v>1045</v>
      </c>
      <c r="H71" s="29" t="s">
        <v>1046</v>
      </c>
      <c r="I71" s="147" t="s">
        <v>1231</v>
      </c>
      <c r="J71" s="147" t="s">
        <v>1054</v>
      </c>
      <c r="K71" s="147" t="s">
        <v>1287</v>
      </c>
      <c r="L71" s="147" t="s">
        <v>1288</v>
      </c>
    </row>
    <row r="72">
      <c r="C72" s="61" t="s">
        <v>1289</v>
      </c>
      <c r="D72" s="147" t="s">
        <v>41</v>
      </c>
      <c r="E72" s="147" t="s">
        <v>403</v>
      </c>
      <c r="F72" s="147" t="s">
        <v>1089</v>
      </c>
      <c r="G72" s="23" t="s">
        <v>1064</v>
      </c>
      <c r="H72" s="29" t="s">
        <v>1046</v>
      </c>
      <c r="I72" s="61" t="s">
        <v>27</v>
      </c>
      <c r="J72" s="61" t="s">
        <v>25</v>
      </c>
      <c r="K72" s="147" t="s">
        <v>1078</v>
      </c>
      <c r="L72" s="147" t="s">
        <v>1290</v>
      </c>
    </row>
    <row r="73">
      <c r="C73" s="61" t="s">
        <v>1291</v>
      </c>
      <c r="D73" s="147" t="s">
        <v>41</v>
      </c>
      <c r="E73" s="147" t="s">
        <v>186</v>
      </c>
      <c r="F73" s="147" t="s">
        <v>1089</v>
      </c>
      <c r="G73" s="23" t="s">
        <v>1064</v>
      </c>
      <c r="H73" s="29" t="s">
        <v>1046</v>
      </c>
      <c r="I73" s="61" t="s">
        <v>27</v>
      </c>
      <c r="J73" s="61" t="s">
        <v>27</v>
      </c>
      <c r="K73" s="147" t="s">
        <v>1292</v>
      </c>
      <c r="L73" s="147" t="s">
        <v>1293</v>
      </c>
    </row>
    <row r="74">
      <c r="C74" s="147" t="s">
        <v>1294</v>
      </c>
      <c r="D74" s="147" t="s">
        <v>1295</v>
      </c>
      <c r="E74" s="192" t="s">
        <v>186</v>
      </c>
      <c r="F74" s="179" t="s">
        <v>1296</v>
      </c>
      <c r="G74" s="23" t="s">
        <v>1064</v>
      </c>
      <c r="H74" s="29" t="s">
        <v>1046</v>
      </c>
      <c r="I74" s="147" t="s">
        <v>25</v>
      </c>
      <c r="J74" s="147" t="s">
        <v>27</v>
      </c>
      <c r="K74" s="147" t="s">
        <v>1297</v>
      </c>
      <c r="L74" s="147" t="s">
        <v>1298</v>
      </c>
    </row>
    <row r="75">
      <c r="C75" s="181" t="s">
        <v>1299</v>
      </c>
      <c r="D75" s="181" t="s">
        <v>41</v>
      </c>
      <c r="E75" s="179" t="s">
        <v>186</v>
      </c>
      <c r="F75" s="179" t="s">
        <v>1300</v>
      </c>
      <c r="G75" s="23" t="s">
        <v>1045</v>
      </c>
      <c r="H75" s="29" t="s">
        <v>1046</v>
      </c>
      <c r="I75" s="147" t="s">
        <v>30</v>
      </c>
      <c r="J75" s="147" t="s">
        <v>30</v>
      </c>
      <c r="K75" s="147" t="s">
        <v>1301</v>
      </c>
      <c r="L75" s="147" t="s">
        <v>1302</v>
      </c>
    </row>
    <row r="76" ht="38.25" customHeight="1">
      <c r="C76" s="147" t="s">
        <v>1303</v>
      </c>
      <c r="D76" s="147" t="s">
        <v>1304</v>
      </c>
      <c r="E76" s="147" t="s">
        <v>186</v>
      </c>
      <c r="F76" s="147" t="s">
        <v>1305</v>
      </c>
      <c r="G76" s="23" t="s">
        <v>1045</v>
      </c>
      <c r="H76" s="29" t="s">
        <v>1046</v>
      </c>
      <c r="I76" s="147" t="s">
        <v>30</v>
      </c>
      <c r="J76" s="147" t="s">
        <v>30</v>
      </c>
      <c r="K76" s="147" t="s">
        <v>1301</v>
      </c>
      <c r="L76" s="147" t="s">
        <v>1306</v>
      </c>
    </row>
    <row r="77">
      <c r="C77" s="147" t="s">
        <v>1307</v>
      </c>
      <c r="D77" s="147" t="s">
        <v>1308</v>
      </c>
      <c r="E77" s="147" t="s">
        <v>186</v>
      </c>
      <c r="F77" s="147" t="s">
        <v>213</v>
      </c>
      <c r="G77" s="23" t="s">
        <v>1045</v>
      </c>
      <c r="H77" s="29" t="s">
        <v>1046</v>
      </c>
      <c r="I77" s="147" t="s">
        <v>30</v>
      </c>
      <c r="J77" s="147" t="s">
        <v>30</v>
      </c>
      <c r="K77" s="147" t="s">
        <v>1301</v>
      </c>
      <c r="L77" s="147" t="s">
        <v>1306</v>
      </c>
    </row>
    <row r="78">
      <c r="C78" s="147" t="s">
        <v>1309</v>
      </c>
      <c r="D78" s="147" t="s">
        <v>1310</v>
      </c>
      <c r="E78" s="147" t="s">
        <v>209</v>
      </c>
      <c r="F78" s="147" t="s">
        <v>754</v>
      </c>
      <c r="G78" s="23" t="s">
        <v>1053</v>
      </c>
      <c r="H78" s="29" t="s">
        <v>1046</v>
      </c>
      <c r="I78" s="147" t="s">
        <v>1069</v>
      </c>
      <c r="J78" s="147" t="s">
        <v>1069</v>
      </c>
      <c r="K78" s="147" t="s">
        <v>1311</v>
      </c>
      <c r="L78" s="147" t="s">
        <v>1312</v>
      </c>
    </row>
    <row r="79">
      <c r="C79" s="147" t="s">
        <v>1313</v>
      </c>
      <c r="D79" s="147" t="s">
        <v>1314</v>
      </c>
      <c r="E79" s="147" t="s">
        <v>186</v>
      </c>
      <c r="F79" s="61" t="s">
        <v>1134</v>
      </c>
      <c r="G79" s="23" t="s">
        <v>1064</v>
      </c>
      <c r="H79" s="29" t="s">
        <v>1046</v>
      </c>
      <c r="I79" s="61" t="s">
        <v>27</v>
      </c>
      <c r="J79" s="61" t="s">
        <v>27</v>
      </c>
      <c r="K79" s="147" t="s">
        <v>1315</v>
      </c>
      <c r="L79" s="147" t="s">
        <v>1316</v>
      </c>
    </row>
    <row r="80">
      <c r="C80" s="147" t="s">
        <v>1317</v>
      </c>
      <c r="D80" s="147" t="s">
        <v>1318</v>
      </c>
      <c r="E80" s="147" t="s">
        <v>186</v>
      </c>
      <c r="F80" s="61" t="s">
        <v>1319</v>
      </c>
      <c r="G80" s="23" t="s">
        <v>1064</v>
      </c>
      <c r="H80" s="29" t="s">
        <v>1046</v>
      </c>
      <c r="I80" s="61" t="s">
        <v>27</v>
      </c>
      <c r="J80" s="147" t="s">
        <v>1069</v>
      </c>
      <c r="K80" s="147" t="s">
        <v>1320</v>
      </c>
      <c r="L80" s="147" t="s">
        <v>1316</v>
      </c>
    </row>
    <row r="81">
      <c r="C81" s="147" t="s">
        <v>1321</v>
      </c>
      <c r="D81" s="147" t="s">
        <v>1322</v>
      </c>
      <c r="E81" s="147" t="s">
        <v>186</v>
      </c>
      <c r="F81" s="147" t="s">
        <v>1323</v>
      </c>
      <c r="G81" s="23" t="s">
        <v>1064</v>
      </c>
      <c r="H81" s="29" t="s">
        <v>1046</v>
      </c>
      <c r="I81" s="61" t="s">
        <v>27</v>
      </c>
      <c r="J81" s="61" t="s">
        <v>27</v>
      </c>
      <c r="K81" s="147" t="s">
        <v>1292</v>
      </c>
      <c r="L81" s="147" t="s">
        <v>1324</v>
      </c>
    </row>
    <row r="82">
      <c r="A82" s="171" t="s">
        <v>1325</v>
      </c>
      <c r="B82" s="173"/>
      <c r="D82" s="173" t="s">
        <v>1326</v>
      </c>
      <c r="E82" s="173" t="s">
        <v>41</v>
      </c>
      <c r="F82" s="173" t="s">
        <v>41</v>
      </c>
      <c r="G82" s="174" t="s">
        <v>41</v>
      </c>
      <c r="H82" s="175" t="s">
        <v>41</v>
      </c>
      <c r="I82" s="173" t="s">
        <v>41</v>
      </c>
      <c r="J82" s="173" t="s">
        <v>41</v>
      </c>
      <c r="K82" s="173" t="s">
        <v>41</v>
      </c>
      <c r="L82" s="173" t="s">
        <v>41</v>
      </c>
    </row>
    <row r="83">
      <c r="B83" s="147" t="s">
        <v>1083</v>
      </c>
      <c r="C83" s="147" t="s">
        <v>1327</v>
      </c>
      <c r="D83" s="147" t="s">
        <v>1328</v>
      </c>
      <c r="E83" s="179" t="s">
        <v>186</v>
      </c>
      <c r="F83" s="179" t="s">
        <v>1329</v>
      </c>
      <c r="G83" s="23" t="s">
        <v>1064</v>
      </c>
      <c r="H83" s="29" t="s">
        <v>1046</v>
      </c>
      <c r="I83" s="147" t="s">
        <v>1069</v>
      </c>
      <c r="J83" s="147" t="s">
        <v>1330</v>
      </c>
      <c r="K83" s="147" t="s">
        <v>1331</v>
      </c>
      <c r="L83" s="147" t="s">
        <v>1332</v>
      </c>
    </row>
    <row r="84">
      <c r="C84" s="181" t="s">
        <v>1333</v>
      </c>
      <c r="D84" s="181" t="s">
        <v>41</v>
      </c>
      <c r="E84" s="147" t="s">
        <v>209</v>
      </c>
      <c r="F84" s="61" t="s">
        <v>1134</v>
      </c>
      <c r="G84" s="23" t="s">
        <v>1045</v>
      </c>
      <c r="H84" s="29" t="s">
        <v>1046</v>
      </c>
      <c r="I84" s="147" t="s">
        <v>30</v>
      </c>
      <c r="J84" s="147" t="s">
        <v>1330</v>
      </c>
      <c r="K84" s="147" t="s">
        <v>1334</v>
      </c>
      <c r="L84" s="147" t="s">
        <v>1335</v>
      </c>
    </row>
    <row r="85">
      <c r="C85" s="147" t="s">
        <v>1336</v>
      </c>
      <c r="D85" s="147" t="s">
        <v>1337</v>
      </c>
      <c r="E85" s="147" t="s">
        <v>186</v>
      </c>
      <c r="F85" s="61" t="s">
        <v>1319</v>
      </c>
      <c r="G85" s="23" t="s">
        <v>1045</v>
      </c>
      <c r="H85" s="29" t="s">
        <v>1046</v>
      </c>
      <c r="I85" s="147" t="s">
        <v>1069</v>
      </c>
      <c r="J85" s="147" t="s">
        <v>1330</v>
      </c>
      <c r="K85" s="147" t="s">
        <v>1338</v>
      </c>
      <c r="L85" s="147" t="s">
        <v>1339</v>
      </c>
    </row>
    <row r="86">
      <c r="C86" s="61" t="s">
        <v>1340</v>
      </c>
      <c r="D86" s="147" t="s">
        <v>41</v>
      </c>
      <c r="E86" s="147" t="s">
        <v>186</v>
      </c>
      <c r="F86" s="61" t="s">
        <v>1319</v>
      </c>
      <c r="G86" s="23" t="s">
        <v>1045</v>
      </c>
      <c r="H86" s="29" t="s">
        <v>1046</v>
      </c>
      <c r="I86" s="147" t="s">
        <v>27</v>
      </c>
      <c r="J86" s="147" t="s">
        <v>1330</v>
      </c>
      <c r="K86" s="147" t="s">
        <v>1341</v>
      </c>
      <c r="L86" s="147" t="s">
        <v>1342</v>
      </c>
    </row>
    <row r="87">
      <c r="C87" s="61" t="s">
        <v>1343</v>
      </c>
      <c r="D87" s="147" t="s">
        <v>41</v>
      </c>
      <c r="E87" s="147" t="s">
        <v>186</v>
      </c>
      <c r="F87" s="61" t="s">
        <v>1319</v>
      </c>
      <c r="G87" s="23" t="s">
        <v>1045</v>
      </c>
      <c r="H87" s="29" t="s">
        <v>1046</v>
      </c>
      <c r="I87" s="147" t="s">
        <v>27</v>
      </c>
      <c r="J87" s="147" t="s">
        <v>1330</v>
      </c>
      <c r="K87" s="147" t="s">
        <v>1341</v>
      </c>
      <c r="L87" s="147" t="s">
        <v>1342</v>
      </c>
    </row>
    <row r="88">
      <c r="C88" s="147" t="s">
        <v>1344</v>
      </c>
      <c r="D88" s="147" t="s">
        <v>1345</v>
      </c>
      <c r="E88" s="147" t="s">
        <v>403</v>
      </c>
      <c r="F88" s="61" t="s">
        <v>1319</v>
      </c>
      <c r="G88" s="23" t="s">
        <v>1045</v>
      </c>
      <c r="H88" s="29" t="s">
        <v>1046</v>
      </c>
      <c r="I88" s="147" t="s">
        <v>27</v>
      </c>
      <c r="J88" s="147" t="s">
        <v>1330</v>
      </c>
      <c r="K88" s="147" t="s">
        <v>1341</v>
      </c>
      <c r="L88" s="147" t="s">
        <v>1342</v>
      </c>
    </row>
    <row r="89">
      <c r="C89" s="61" t="s">
        <v>1346</v>
      </c>
      <c r="D89" s="147" t="s">
        <v>41</v>
      </c>
      <c r="E89" s="147" t="s">
        <v>403</v>
      </c>
      <c r="F89" s="61" t="s">
        <v>1319</v>
      </c>
      <c r="G89" s="23" t="s">
        <v>1045</v>
      </c>
      <c r="H89" s="29" t="s">
        <v>1046</v>
      </c>
      <c r="I89" s="147" t="s">
        <v>27</v>
      </c>
      <c r="J89" s="147" t="s">
        <v>1330</v>
      </c>
      <c r="K89" s="147" t="s">
        <v>1341</v>
      </c>
      <c r="L89" s="147" t="s">
        <v>1342</v>
      </c>
    </row>
    <row r="90">
      <c r="C90" s="61" t="s">
        <v>1347</v>
      </c>
      <c r="D90" s="147" t="s">
        <v>41</v>
      </c>
      <c r="E90" s="147" t="s">
        <v>403</v>
      </c>
      <c r="F90" s="61" t="s">
        <v>1319</v>
      </c>
      <c r="G90" s="23" t="s">
        <v>1045</v>
      </c>
      <c r="H90" s="29" t="s">
        <v>1046</v>
      </c>
      <c r="I90" s="147" t="s">
        <v>27</v>
      </c>
      <c r="J90" s="147" t="s">
        <v>1330</v>
      </c>
      <c r="K90" s="147" t="s">
        <v>1341</v>
      </c>
      <c r="L90" s="147" t="s">
        <v>1342</v>
      </c>
    </row>
    <row r="91">
      <c r="C91" s="147" t="s">
        <v>1348</v>
      </c>
      <c r="D91" s="147" t="s">
        <v>1349</v>
      </c>
      <c r="E91" s="147" t="s">
        <v>403</v>
      </c>
      <c r="F91" s="61" t="s">
        <v>1319</v>
      </c>
      <c r="G91" s="23" t="s">
        <v>1045</v>
      </c>
      <c r="H91" s="29" t="s">
        <v>1046</v>
      </c>
      <c r="I91" s="147" t="s">
        <v>27</v>
      </c>
      <c r="J91" s="147" t="s">
        <v>1330</v>
      </c>
      <c r="K91" s="147" t="s">
        <v>1341</v>
      </c>
      <c r="L91" s="147" t="s">
        <v>1342</v>
      </c>
    </row>
    <row r="92">
      <c r="C92" s="147" t="s">
        <v>1350</v>
      </c>
      <c r="D92" s="147" t="s">
        <v>1351</v>
      </c>
      <c r="E92" s="147" t="s">
        <v>403</v>
      </c>
      <c r="F92" s="61" t="s">
        <v>1319</v>
      </c>
      <c r="G92" s="23" t="s">
        <v>1045</v>
      </c>
      <c r="H92" s="29" t="s">
        <v>1046</v>
      </c>
      <c r="I92" s="147" t="s">
        <v>27</v>
      </c>
      <c r="J92" s="147" t="s">
        <v>1330</v>
      </c>
      <c r="K92" s="147" t="s">
        <v>1341</v>
      </c>
      <c r="L92" s="147" t="s">
        <v>1342</v>
      </c>
    </row>
    <row r="93">
      <c r="C93" s="147" t="s">
        <v>1352</v>
      </c>
      <c r="D93" s="147" t="s">
        <v>1353</v>
      </c>
      <c r="E93" s="147" t="s">
        <v>403</v>
      </c>
      <c r="F93" s="61" t="s">
        <v>1319</v>
      </c>
      <c r="G93" s="23" t="s">
        <v>1045</v>
      </c>
      <c r="H93" s="29" t="s">
        <v>1046</v>
      </c>
      <c r="I93" s="147" t="s">
        <v>27</v>
      </c>
      <c r="J93" s="147" t="s">
        <v>1330</v>
      </c>
      <c r="K93" s="147" t="s">
        <v>1341</v>
      </c>
      <c r="L93" s="147" t="s">
        <v>1342</v>
      </c>
    </row>
    <row r="94">
      <c r="C94" s="147" t="s">
        <v>1354</v>
      </c>
      <c r="D94" s="147" t="s">
        <v>41</v>
      </c>
      <c r="E94" s="147" t="s">
        <v>403</v>
      </c>
      <c r="F94" s="147" t="s">
        <v>1144</v>
      </c>
      <c r="G94" s="23" t="s">
        <v>1045</v>
      </c>
      <c r="H94" s="29" t="s">
        <v>1046</v>
      </c>
      <c r="I94" s="147" t="s">
        <v>27</v>
      </c>
      <c r="J94" s="147" t="s">
        <v>1330</v>
      </c>
      <c r="K94" s="147" t="s">
        <v>1341</v>
      </c>
      <c r="L94" s="147" t="s">
        <v>1342</v>
      </c>
    </row>
    <row r="95">
      <c r="C95" s="147" t="s">
        <v>1355</v>
      </c>
      <c r="D95" s="147" t="s">
        <v>1356</v>
      </c>
      <c r="E95" s="147" t="s">
        <v>209</v>
      </c>
      <c r="F95" s="147" t="s">
        <v>1357</v>
      </c>
      <c r="G95" s="23" t="s">
        <v>1045</v>
      </c>
      <c r="H95" s="29" t="s">
        <v>1046</v>
      </c>
      <c r="I95" s="147" t="s">
        <v>30</v>
      </c>
      <c r="J95" s="147" t="s">
        <v>1330</v>
      </c>
      <c r="K95" s="147" t="s">
        <v>1358</v>
      </c>
      <c r="L95" s="147" t="s">
        <v>1359</v>
      </c>
    </row>
    <row r="96">
      <c r="C96" s="61" t="s">
        <v>1360</v>
      </c>
      <c r="D96" s="147" t="s">
        <v>41</v>
      </c>
      <c r="E96" s="147" t="s">
        <v>186</v>
      </c>
      <c r="F96" s="61" t="s">
        <v>1361</v>
      </c>
      <c r="G96" s="23" t="s">
        <v>1045</v>
      </c>
      <c r="H96" s="29" t="s">
        <v>1046</v>
      </c>
      <c r="I96" s="147" t="s">
        <v>31</v>
      </c>
      <c r="J96" s="147" t="s">
        <v>1362</v>
      </c>
      <c r="K96" s="147" t="s">
        <v>1363</v>
      </c>
      <c r="L96" s="147" t="s">
        <v>1364</v>
      </c>
    </row>
    <row r="97">
      <c r="C97" s="147" t="s">
        <v>1365</v>
      </c>
      <c r="D97" s="147" t="s">
        <v>1366</v>
      </c>
      <c r="E97" s="147" t="s">
        <v>403</v>
      </c>
      <c r="F97" s="147" t="s">
        <v>1367</v>
      </c>
      <c r="G97" s="23" t="s">
        <v>1045</v>
      </c>
      <c r="H97" s="29" t="s">
        <v>1046</v>
      </c>
      <c r="I97" s="147" t="s">
        <v>31</v>
      </c>
      <c r="J97" s="147" t="s">
        <v>1362</v>
      </c>
      <c r="K97" s="147" t="s">
        <v>1363</v>
      </c>
      <c r="L97" s="147" t="s">
        <v>1368</v>
      </c>
    </row>
    <row r="98">
      <c r="C98" s="61" t="s">
        <v>1369</v>
      </c>
      <c r="D98" s="147" t="s">
        <v>1370</v>
      </c>
      <c r="E98" s="147" t="s">
        <v>209</v>
      </c>
      <c r="F98" s="61" t="s">
        <v>1157</v>
      </c>
      <c r="G98" s="23" t="s">
        <v>1053</v>
      </c>
      <c r="H98" s="29" t="s">
        <v>1217</v>
      </c>
      <c r="I98" s="147" t="s">
        <v>31</v>
      </c>
      <c r="J98" s="147" t="s">
        <v>1362</v>
      </c>
      <c r="K98" s="147" t="s">
        <v>1371</v>
      </c>
      <c r="L98" s="147" t="s">
        <v>1372</v>
      </c>
    </row>
    <row r="99">
      <c r="C99" s="147" t="s">
        <v>1373</v>
      </c>
      <c r="D99" s="147" t="s">
        <v>41</v>
      </c>
      <c r="E99" s="147" t="s">
        <v>403</v>
      </c>
      <c r="F99" s="61" t="s">
        <v>1374</v>
      </c>
      <c r="G99" s="23" t="s">
        <v>1045</v>
      </c>
      <c r="H99" s="29" t="s">
        <v>1217</v>
      </c>
      <c r="I99" s="147" t="s">
        <v>31</v>
      </c>
      <c r="J99" s="147" t="s">
        <v>1362</v>
      </c>
      <c r="K99" s="147" t="s">
        <v>1375</v>
      </c>
      <c r="L99" s="147" t="s">
        <v>1376</v>
      </c>
    </row>
    <row r="100">
      <c r="C100" s="147" t="s">
        <v>1377</v>
      </c>
      <c r="D100" s="147" t="s">
        <v>41</v>
      </c>
      <c r="E100" s="147" t="s">
        <v>209</v>
      </c>
      <c r="F100" s="183" t="s">
        <v>1378</v>
      </c>
      <c r="G100" s="23" t="s">
        <v>1064</v>
      </c>
      <c r="H100" s="29" t="s">
        <v>1046</v>
      </c>
      <c r="I100" s="147" t="s">
        <v>31</v>
      </c>
      <c r="J100" s="147" t="s">
        <v>1362</v>
      </c>
      <c r="K100" s="147" t="s">
        <v>1379</v>
      </c>
      <c r="L100" s="147" t="s">
        <v>1380</v>
      </c>
    </row>
    <row r="101">
      <c r="C101" s="147" t="s">
        <v>1381</v>
      </c>
      <c r="D101" s="147" t="s">
        <v>41</v>
      </c>
      <c r="E101" s="147" t="s">
        <v>209</v>
      </c>
      <c r="F101" s="61" t="s">
        <v>1382</v>
      </c>
      <c r="G101" s="23" t="s">
        <v>1064</v>
      </c>
      <c r="H101" s="29" t="s">
        <v>1046</v>
      </c>
      <c r="I101" s="147" t="s">
        <v>31</v>
      </c>
      <c r="J101" s="147" t="s">
        <v>1362</v>
      </c>
      <c r="K101" s="147" t="s">
        <v>1379</v>
      </c>
      <c r="L101" s="147" t="s">
        <v>1380</v>
      </c>
    </row>
    <row r="102">
      <c r="C102" s="147" t="s">
        <v>1383</v>
      </c>
      <c r="D102" s="147" t="s">
        <v>41</v>
      </c>
      <c r="E102" s="147" t="s">
        <v>186</v>
      </c>
      <c r="F102" s="61" t="s">
        <v>1384</v>
      </c>
      <c r="G102" s="23" t="s">
        <v>1064</v>
      </c>
      <c r="H102" s="29" t="s">
        <v>1046</v>
      </c>
      <c r="I102" s="147" t="s">
        <v>31</v>
      </c>
      <c r="J102" s="147" t="s">
        <v>1362</v>
      </c>
      <c r="K102" s="147" t="s">
        <v>1379</v>
      </c>
      <c r="L102" s="147" t="s">
        <v>1380</v>
      </c>
    </row>
    <row r="103">
      <c r="C103" s="147" t="s">
        <v>1385</v>
      </c>
      <c r="D103" s="147" t="s">
        <v>41</v>
      </c>
      <c r="E103" s="147" t="s">
        <v>186</v>
      </c>
      <c r="F103" s="147" t="s">
        <v>1252</v>
      </c>
      <c r="G103" s="23" t="s">
        <v>1053</v>
      </c>
      <c r="H103" s="29" t="s">
        <v>1217</v>
      </c>
      <c r="I103" s="147" t="s">
        <v>31</v>
      </c>
      <c r="J103" s="147" t="s">
        <v>1362</v>
      </c>
      <c r="K103" s="147" t="s">
        <v>1386</v>
      </c>
      <c r="L103" s="147" t="s">
        <v>1387</v>
      </c>
    </row>
    <row r="104">
      <c r="C104" s="147" t="s">
        <v>1388</v>
      </c>
      <c r="D104" s="147" t="s">
        <v>1389</v>
      </c>
      <c r="E104" s="147" t="s">
        <v>209</v>
      </c>
      <c r="F104" s="61" t="s">
        <v>1374</v>
      </c>
      <c r="G104" s="23" t="s">
        <v>1053</v>
      </c>
      <c r="H104" s="29" t="s">
        <v>1217</v>
      </c>
      <c r="I104" s="147" t="s">
        <v>31</v>
      </c>
      <c r="J104" s="147" t="s">
        <v>1362</v>
      </c>
      <c r="K104" s="147" t="s">
        <v>1390</v>
      </c>
      <c r="L104" s="147" t="s">
        <v>1391</v>
      </c>
    </row>
    <row r="105">
      <c r="C105" s="147" t="s">
        <v>1392</v>
      </c>
      <c r="D105" s="147" t="s">
        <v>41</v>
      </c>
      <c r="E105" s="147" t="s">
        <v>186</v>
      </c>
      <c r="F105" s="61" t="s">
        <v>1393</v>
      </c>
      <c r="G105" s="23" t="s">
        <v>1064</v>
      </c>
      <c r="H105" s="29" t="s">
        <v>1046</v>
      </c>
      <c r="I105" s="147" t="s">
        <v>31</v>
      </c>
      <c r="J105" s="147" t="s">
        <v>1362</v>
      </c>
      <c r="K105" s="147" t="s">
        <v>1394</v>
      </c>
      <c r="L105" s="147" t="s">
        <v>1395</v>
      </c>
    </row>
    <row r="106">
      <c r="C106" s="147" t="s">
        <v>1396</v>
      </c>
      <c r="D106" s="147" t="s">
        <v>1397</v>
      </c>
      <c r="E106" s="147" t="s">
        <v>403</v>
      </c>
      <c r="F106" s="183" t="s">
        <v>1398</v>
      </c>
      <c r="G106" s="23" t="s">
        <v>1053</v>
      </c>
      <c r="H106" s="29" t="s">
        <v>1217</v>
      </c>
      <c r="I106" s="147" t="s">
        <v>31</v>
      </c>
      <c r="J106" s="147" t="s">
        <v>1362</v>
      </c>
      <c r="K106" s="147" t="s">
        <v>1399</v>
      </c>
      <c r="L106" s="147" t="s">
        <v>1400</v>
      </c>
    </row>
    <row r="107">
      <c r="C107" s="147" t="s">
        <v>1401</v>
      </c>
      <c r="D107" s="147" t="s">
        <v>41</v>
      </c>
      <c r="E107" s="179" t="s">
        <v>209</v>
      </c>
      <c r="F107" s="179" t="s">
        <v>1402</v>
      </c>
      <c r="G107" s="23" t="s">
        <v>1045</v>
      </c>
      <c r="H107" s="29" t="s">
        <v>1046</v>
      </c>
      <c r="I107" s="147" t="s">
        <v>31</v>
      </c>
      <c r="J107" s="147" t="s">
        <v>1362</v>
      </c>
      <c r="K107" s="147" t="s">
        <v>1403</v>
      </c>
      <c r="L107" s="147" t="s">
        <v>1404</v>
      </c>
    </row>
    <row r="108">
      <c r="C108" s="147" t="s">
        <v>1405</v>
      </c>
      <c r="D108" s="147" t="s">
        <v>1406</v>
      </c>
      <c r="E108" s="192" t="s">
        <v>186</v>
      </c>
      <c r="F108" s="193" t="s">
        <v>1407</v>
      </c>
      <c r="G108" s="23" t="s">
        <v>1064</v>
      </c>
      <c r="H108" s="29" t="s">
        <v>1046</v>
      </c>
      <c r="I108" s="147" t="s">
        <v>1362</v>
      </c>
      <c r="J108" s="147" t="s">
        <v>1362</v>
      </c>
      <c r="K108" s="147" t="s">
        <v>1408</v>
      </c>
      <c r="L108" s="147" t="s">
        <v>1409</v>
      </c>
    </row>
    <row r="109">
      <c r="C109" s="147" t="s">
        <v>1410</v>
      </c>
      <c r="D109" s="147" t="s">
        <v>41</v>
      </c>
      <c r="E109" s="147" t="s">
        <v>403</v>
      </c>
      <c r="F109" s="61" t="s">
        <v>1411</v>
      </c>
      <c r="G109" s="23" t="s">
        <v>1053</v>
      </c>
      <c r="H109" s="29" t="s">
        <v>1046</v>
      </c>
      <c r="I109" s="147" t="s">
        <v>31</v>
      </c>
      <c r="J109" s="147" t="s">
        <v>1362</v>
      </c>
      <c r="K109" s="147" t="s">
        <v>1412</v>
      </c>
      <c r="L109" s="147" t="s">
        <v>1413</v>
      </c>
    </row>
    <row r="110">
      <c r="C110" s="147" t="s">
        <v>1414</v>
      </c>
      <c r="D110" s="147" t="s">
        <v>1415</v>
      </c>
      <c r="E110" s="147" t="s">
        <v>209</v>
      </c>
      <c r="F110" s="147" t="s">
        <v>1416</v>
      </c>
      <c r="G110" s="23" t="s">
        <v>1045</v>
      </c>
      <c r="H110" s="29" t="s">
        <v>1046</v>
      </c>
      <c r="I110" s="147" t="s">
        <v>31</v>
      </c>
      <c r="J110" s="147" t="s">
        <v>1330</v>
      </c>
      <c r="K110" s="147" t="s">
        <v>1417</v>
      </c>
      <c r="L110" s="147" t="s">
        <v>1418</v>
      </c>
    </row>
    <row r="111">
      <c r="C111" s="61" t="s">
        <v>1419</v>
      </c>
      <c r="D111" s="147" t="s">
        <v>41</v>
      </c>
      <c r="E111" s="147" t="s">
        <v>209</v>
      </c>
      <c r="F111" s="183" t="s">
        <v>1420</v>
      </c>
      <c r="G111" s="23" t="s">
        <v>1045</v>
      </c>
      <c r="H111" s="29" t="s">
        <v>1217</v>
      </c>
      <c r="I111" s="147" t="s">
        <v>31</v>
      </c>
      <c r="J111" s="147" t="s">
        <v>1330</v>
      </c>
      <c r="K111" s="147" t="s">
        <v>1421</v>
      </c>
      <c r="L111" s="147" t="s">
        <v>1422</v>
      </c>
    </row>
  </sheetData>
  <customSheetViews>
    <customSheetView guid="{C103ECE9-5D35-4A9E-9396-8F6D912E796E}" filter="1" showAutoFilter="1">
      <autoFilter ref="$E$2:$E$111"/>
    </customSheetView>
  </customSheetViews>
  <mergeCells count="19">
    <mergeCell ref="G1:H1"/>
    <mergeCell ref="I1:L1"/>
    <mergeCell ref="A3:A25"/>
    <mergeCell ref="B3:C3"/>
    <mergeCell ref="B4:B11"/>
    <mergeCell ref="B12:B25"/>
    <mergeCell ref="B26:C26"/>
    <mergeCell ref="B65:B67"/>
    <mergeCell ref="B68:B81"/>
    <mergeCell ref="A82:A111"/>
    <mergeCell ref="B83:B111"/>
    <mergeCell ref="A26:A52"/>
    <mergeCell ref="B28:B52"/>
    <mergeCell ref="A53:A63"/>
    <mergeCell ref="B53:C53"/>
    <mergeCell ref="B54:B63"/>
    <mergeCell ref="A64:A81"/>
    <mergeCell ref="B64:C64"/>
    <mergeCell ref="B82:C82"/>
  </mergeCells>
  <dataValidations>
    <dataValidation type="list" allowBlank="1" showErrorMessage="1" sqref="I38:J38">
      <formula1>"Governance* &amp; Management,RoP&amp;A*,Sustainability*,Engagement*,Human Capacity*,Interoperability*,Standards* &amp; Conventions,ICT Infrastructure*,Services* &amp; Tools*,Research Objects*,ICT / Services* &amp; Tools*,Engagement* / Research Objects*,Interoperability* / St"&amp;"andards* * Conventions,Standards* &amp; Conventions/ Services* &amp; Tools*,Engagement* / Services* &amp; Tools*"</formula1>
    </dataValidation>
    <dataValidation type="list" allowBlank="1" showErrorMessage="1" sqref="I4:J25 I27:J37 I39:J52 I54:J63 I65:J81 I83:J111">
      <formula1>"Governance* &amp; Management,RoP&amp;A*,Sustainability*,Engagement*,Human Capacity*,Interoperability*,Standards* &amp; Conventions,ICT Infrastructure*,Services* &amp; Tools*,Research Objects*,ICT / Services* &amp; Tools*,Engagement* / Research Objects*,Interoperability* / St"&amp;"andards* * Conventions,Standards* &amp; Conventions/ Services* &amp; Tools*,Engagement* / Services* &amp; Tools*,Services* &amp; Tools* / Research Objects*,ICT* / Research Objects*"</formula1>
    </dataValidation>
    <dataValidation type="list" allowBlank="1" showErrorMessage="1" sqref="H4:H25 H27:H52 H54:H63 H65:H81 H83:H111">
      <formula1>"Internal,External"</formula1>
    </dataValidation>
    <dataValidation type="list" allowBlank="1" showErrorMessage="1" sqref="G4:G25 G27:G52 G54:G63 G65:G81 G83:G111">
      <formula1>"Initial,Developing,Established,Expanding"</formula1>
    </dataValidation>
  </dataValidations>
  <hyperlinks>
    <hyperlink r:id="rId2" ref="F14"/>
    <hyperlink r:id="rId3" ref="F15"/>
    <hyperlink r:id="rId4" ref="F20"/>
    <hyperlink r:id="rId5" ref="F21"/>
    <hyperlink r:id="rId6" ref="F35"/>
    <hyperlink r:id="rId7" ref="F36"/>
    <hyperlink r:id="rId8" ref="F44"/>
    <hyperlink r:id="rId9" ref="F54"/>
    <hyperlink r:id="rId10" ref="F68"/>
    <hyperlink r:id="rId11" ref="F69"/>
    <hyperlink r:id="rId12" ref="F71"/>
    <hyperlink r:id="rId13" ref="F74"/>
    <hyperlink r:id="rId14" ref="F75"/>
    <hyperlink r:id="rId15" ref="F83"/>
    <hyperlink r:id="rId16" ref="F100"/>
    <hyperlink r:id="rId17" ref="F106"/>
    <hyperlink r:id="rId18" ref="F107"/>
    <hyperlink r:id="rId19" ref="F108"/>
    <hyperlink r:id="rId20" ref="F111"/>
  </hyperlinks>
  <drawing r:id="rId21"/>
  <legacyDrawing r:id="rId22"/>
  <tableParts count="1">
    <tablePart r:id="rId24"/>
  </tableParts>
  <extLst>
    <ext uri="{3A4CF648-6AED-40f4-86FF-DC5316D8AED3}">
      <x14:slicerList>
        <x14:slicer r:id="rId25"/>
      </x14:slicerList>
    </ext>
  </extLst>
</worksheet>
</file>